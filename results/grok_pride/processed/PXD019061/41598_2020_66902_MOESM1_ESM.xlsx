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liebler/Protypia, LLC Dropbox/Daniel Liebler/Manuscripts/NSCLC immune checkpoint MS/Scientific Reports submission/"/>
    </mc:Choice>
  </mc:AlternateContent>
  <xr:revisionPtr revIDLastSave="0" documentId="8_{0B7650F1-A4E8-6642-9E7F-FDB27AA20922}" xr6:coauthVersionLast="45" xr6:coauthVersionMax="45" xr10:uidLastSave="{00000000-0000-0000-0000-000000000000}"/>
  <bookViews>
    <workbookView xWindow="1720" yWindow="640" windowWidth="36740" windowHeight="21020" xr2:uid="{00000000-000D-0000-FFFF-FFFF00000000}"/>
  </bookViews>
  <sheets>
    <sheet name="Info" sheetId="39" r:id="rId1"/>
    <sheet name="PD-1" sheetId="23" r:id="rId2"/>
    <sheet name="PD-L1" sheetId="12" r:id="rId3"/>
    <sheet name="IDO1" sheetId="26" r:id="rId4"/>
    <sheet name="PD-L2" sheetId="9" r:id="rId5"/>
    <sheet name="LAG3" sheetId="6" r:id="rId6"/>
    <sheet name="TIM-3" sheetId="3" r:id="rId7"/>
    <sheet name="ICOSLG" sheetId="4" r:id="rId8"/>
    <sheet name="VISTA" sheetId="11" r:id="rId9"/>
    <sheet name="GITR" sheetId="10" r:id="rId10"/>
    <sheet name="CD40" sheetId="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1" i="23" l="1"/>
  <c r="F19" i="23"/>
  <c r="F17" i="23"/>
  <c r="F10" i="23"/>
  <c r="F8" i="23"/>
  <c r="F6" i="23"/>
  <c r="F5" i="23"/>
  <c r="F13" i="1" l="1"/>
  <c r="F14" i="1"/>
  <c r="F15" i="1"/>
  <c r="F16" i="1"/>
  <c r="F17" i="1"/>
  <c r="F18" i="1"/>
  <c r="F19" i="1"/>
  <c r="F20" i="1"/>
  <c r="F21" i="1"/>
  <c r="F22" i="1"/>
  <c r="F12" i="1"/>
  <c r="F4" i="1"/>
  <c r="F5" i="1"/>
  <c r="F6" i="1"/>
  <c r="F7" i="1"/>
  <c r="F8" i="1"/>
  <c r="F9" i="1"/>
  <c r="F10" i="1"/>
  <c r="F3" i="1"/>
  <c r="F20" i="10"/>
  <c r="F21" i="10"/>
  <c r="F22" i="10"/>
  <c r="F19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3" i="10"/>
  <c r="F22" i="11"/>
  <c r="F17" i="11"/>
  <c r="F18" i="11"/>
  <c r="F19" i="11"/>
  <c r="F15" i="11"/>
  <c r="F5" i="11"/>
  <c r="F6" i="11"/>
  <c r="F7" i="11"/>
  <c r="F8" i="11"/>
  <c r="F9" i="11"/>
  <c r="F10" i="11"/>
  <c r="F11" i="11"/>
  <c r="F12" i="11"/>
  <c r="F4" i="1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3" i="4"/>
  <c r="F22" i="3"/>
  <c r="F21" i="3"/>
  <c r="F20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3" i="3"/>
  <c r="F22" i="6"/>
  <c r="F9" i="6"/>
  <c r="F10" i="6"/>
  <c r="F11" i="6"/>
  <c r="F12" i="6"/>
  <c r="F13" i="6"/>
  <c r="F14" i="6"/>
  <c r="F15" i="6"/>
  <c r="F16" i="6"/>
  <c r="F17" i="6"/>
  <c r="F18" i="6"/>
  <c r="F19" i="6"/>
  <c r="F20" i="6"/>
  <c r="F8" i="6"/>
  <c r="F4" i="6"/>
  <c r="F5" i="6"/>
  <c r="F6" i="6"/>
  <c r="F3" i="6"/>
  <c r="F22" i="26"/>
  <c r="F20" i="26"/>
  <c r="F15" i="26"/>
  <c r="F13" i="26"/>
  <c r="F14" i="26"/>
  <c r="F12" i="26"/>
  <c r="F10" i="26"/>
  <c r="F9" i="26"/>
  <c r="F8" i="26"/>
  <c r="F4" i="26"/>
  <c r="F5" i="26"/>
  <c r="F6" i="26"/>
  <c r="F13" i="9"/>
  <c r="F14" i="9"/>
  <c r="F15" i="9"/>
  <c r="F16" i="9"/>
  <c r="F17" i="9"/>
  <c r="F18" i="9"/>
  <c r="F19" i="9"/>
  <c r="F20" i="9"/>
  <c r="F21" i="9"/>
  <c r="F22" i="9"/>
  <c r="F12" i="9"/>
  <c r="F5" i="9"/>
  <c r="F6" i="9"/>
  <c r="F7" i="9"/>
  <c r="F8" i="9"/>
  <c r="F9" i="9"/>
  <c r="F10" i="9"/>
  <c r="F3" i="9"/>
  <c r="F5" i="12"/>
  <c r="F6" i="12"/>
  <c r="F8" i="12"/>
  <c r="F9" i="12"/>
  <c r="F10" i="12"/>
  <c r="F11" i="12"/>
  <c r="F12" i="12"/>
  <c r="F15" i="12"/>
  <c r="F16" i="12"/>
  <c r="F17" i="12"/>
  <c r="F18" i="12"/>
  <c r="F19" i="12"/>
  <c r="F20" i="12"/>
  <c r="F22" i="12"/>
  <c r="F4" i="12"/>
  <c r="D28" i="26" l="1"/>
  <c r="F28" i="26" s="1"/>
  <c r="D32" i="26"/>
  <c r="F32" i="26" s="1"/>
  <c r="D36" i="26"/>
  <c r="F36" i="26" s="1"/>
  <c r="D29" i="26"/>
  <c r="F29" i="26" s="1"/>
  <c r="D27" i="26"/>
  <c r="F27" i="26" s="1"/>
  <c r="D44" i="26"/>
  <c r="F44" i="26" s="1"/>
  <c r="D30" i="26"/>
  <c r="F30" i="26" s="1"/>
  <c r="D23" i="26"/>
  <c r="F23" i="26" s="1"/>
  <c r="D34" i="26"/>
  <c r="F34" i="26" s="1"/>
  <c r="D40" i="26"/>
  <c r="F40" i="26" s="1"/>
  <c r="D45" i="26"/>
  <c r="F45" i="26" s="1"/>
  <c r="D26" i="26"/>
  <c r="F26" i="26" s="1"/>
  <c r="D37" i="26"/>
  <c r="F37" i="26" s="1"/>
  <c r="D31" i="26"/>
  <c r="F31" i="26" s="1"/>
  <c r="D43" i="26"/>
  <c r="F43" i="26" s="1"/>
  <c r="D46" i="26"/>
  <c r="F46" i="26" s="1"/>
  <c r="D38" i="26"/>
  <c r="F38" i="26" s="1"/>
  <c r="D41" i="26"/>
  <c r="F41" i="26" s="1"/>
  <c r="D24" i="26"/>
  <c r="F24" i="26" s="1"/>
  <c r="D47" i="26"/>
  <c r="F47" i="26" s="1"/>
  <c r="D39" i="26"/>
  <c r="F39" i="26" s="1"/>
  <c r="D33" i="26"/>
  <c r="F33" i="26" s="1"/>
  <c r="D25" i="26"/>
  <c r="F25" i="26" s="1"/>
  <c r="D42" i="26"/>
  <c r="F42" i="26" s="1"/>
  <c r="D35" i="26"/>
  <c r="F35" i="26" s="1"/>
  <c r="D48" i="26"/>
  <c r="F48" i="26" s="1"/>
  <c r="D28" i="23"/>
  <c r="D32" i="23"/>
  <c r="F32" i="23" s="1"/>
  <c r="D36" i="23"/>
  <c r="F36" i="23" s="1"/>
  <c r="D29" i="23"/>
  <c r="D27" i="23"/>
  <c r="D44" i="23"/>
  <c r="D30" i="23"/>
  <c r="F30" i="23" s="1"/>
  <c r="D23" i="23"/>
  <c r="D34" i="23"/>
  <c r="F34" i="23" s="1"/>
  <c r="D40" i="23"/>
  <c r="F40" i="23" s="1"/>
  <c r="D45" i="23"/>
  <c r="F45" i="23" s="1"/>
  <c r="D26" i="23"/>
  <c r="F26" i="23" s="1"/>
  <c r="D37" i="23"/>
  <c r="F37" i="23" s="1"/>
  <c r="D31" i="23"/>
  <c r="F31" i="23" s="1"/>
  <c r="D43" i="23"/>
  <c r="F43" i="23" s="1"/>
  <c r="D46" i="23"/>
  <c r="D38" i="23"/>
  <c r="F38" i="23" s="1"/>
  <c r="D41" i="23"/>
  <c r="F41" i="23" s="1"/>
  <c r="D24" i="23"/>
  <c r="F24" i="23" s="1"/>
  <c r="D47" i="23"/>
  <c r="F47" i="23" s="1"/>
  <c r="D39" i="23"/>
  <c r="F39" i="23" s="1"/>
  <c r="D33" i="23"/>
  <c r="F33" i="23" s="1"/>
  <c r="D25" i="23"/>
  <c r="F25" i="23" s="1"/>
  <c r="D42" i="23"/>
  <c r="F42" i="23" s="1"/>
  <c r="D35" i="23"/>
  <c r="F35" i="23" s="1"/>
  <c r="D48" i="23"/>
  <c r="F48" i="23" s="1"/>
  <c r="D28" i="12" l="1"/>
  <c r="F28" i="12" s="1"/>
  <c r="D32" i="12"/>
  <c r="F32" i="12" s="1"/>
  <c r="D36" i="12"/>
  <c r="F36" i="12" s="1"/>
  <c r="D29" i="12"/>
  <c r="F29" i="12" s="1"/>
  <c r="D27" i="12"/>
  <c r="F27" i="12" s="1"/>
  <c r="D44" i="12"/>
  <c r="F44" i="12" s="1"/>
  <c r="D30" i="12"/>
  <c r="F30" i="12" s="1"/>
  <c r="D23" i="12"/>
  <c r="F23" i="12" s="1"/>
  <c r="D34" i="12"/>
  <c r="F34" i="12" s="1"/>
  <c r="D40" i="12"/>
  <c r="F40" i="12" s="1"/>
  <c r="D45" i="12"/>
  <c r="F45" i="12" s="1"/>
  <c r="D26" i="12"/>
  <c r="F26" i="12" s="1"/>
  <c r="D37" i="12"/>
  <c r="F37" i="12" s="1"/>
  <c r="D31" i="12"/>
  <c r="F31" i="12" s="1"/>
  <c r="D43" i="12"/>
  <c r="F43" i="12" s="1"/>
  <c r="D46" i="12"/>
  <c r="F46" i="12" s="1"/>
  <c r="D38" i="12"/>
  <c r="F38" i="12" s="1"/>
  <c r="D41" i="12"/>
  <c r="F41" i="12" s="1"/>
  <c r="D24" i="12"/>
  <c r="F24" i="12" s="1"/>
  <c r="D47" i="12"/>
  <c r="F47" i="12" s="1"/>
  <c r="D39" i="12"/>
  <c r="F39" i="12" s="1"/>
  <c r="D33" i="12"/>
  <c r="F33" i="12" s="1"/>
  <c r="D25" i="12"/>
  <c r="F25" i="12" s="1"/>
  <c r="D42" i="12"/>
  <c r="F42" i="12" s="1"/>
  <c r="D35" i="12"/>
  <c r="F35" i="12" s="1"/>
  <c r="D48" i="12"/>
  <c r="F48" i="12" s="1"/>
  <c r="D4" i="9" l="1"/>
  <c r="F4" i="9" s="1"/>
</calcChain>
</file>

<file path=xl/sharedStrings.xml><?xml version="1.0" encoding="utf-8"?>
<sst xmlns="http://schemas.openxmlformats.org/spreadsheetml/2006/main" count="633" uniqueCount="71">
  <si>
    <t>Total Area Ratio</t>
  </si>
  <si>
    <t>Total Area L</t>
  </si>
  <si>
    <t>Total Area H</t>
  </si>
  <si>
    <t>data check</t>
  </si>
  <si>
    <t>p</t>
  </si>
  <si>
    <t>f</t>
  </si>
  <si>
    <t>fmol/ug protein</t>
  </si>
  <si>
    <t>Sample ID</t>
  </si>
  <si>
    <t>P2624</t>
  </si>
  <si>
    <t>P2625</t>
  </si>
  <si>
    <t>SR12-103</t>
  </si>
  <si>
    <t>SR12-81</t>
  </si>
  <si>
    <t>SR12-92</t>
  </si>
  <si>
    <t>SR12-94</t>
  </si>
  <si>
    <t>SR12-1</t>
  </si>
  <si>
    <t>SR12-4</t>
  </si>
  <si>
    <t>SR13-77</t>
  </si>
  <si>
    <t>SR13-82</t>
  </si>
  <si>
    <t>SR15-778</t>
  </si>
  <si>
    <t>SR15-874</t>
  </si>
  <si>
    <t>V46</t>
  </si>
  <si>
    <t>V631</t>
  </si>
  <si>
    <t>P2613</t>
  </si>
  <si>
    <t>P2658</t>
  </si>
  <si>
    <t>SR12-68</t>
  </si>
  <si>
    <t>SR12-82</t>
  </si>
  <si>
    <t>SR15-496</t>
  </si>
  <si>
    <t>V97</t>
  </si>
  <si>
    <t>LAG3</t>
  </si>
  <si>
    <t>IDO1</t>
  </si>
  <si>
    <t>CD40</t>
  </si>
  <si>
    <t>ICOSLG</t>
  </si>
  <si>
    <t>V634</t>
  </si>
  <si>
    <t>V576</t>
  </si>
  <si>
    <t>SR12-138</t>
  </si>
  <si>
    <t>SR12-96</t>
  </si>
  <si>
    <t>SR15-731</t>
  </si>
  <si>
    <t>V626</t>
  </si>
  <si>
    <t>P2619</t>
  </si>
  <si>
    <t>V570</t>
  </si>
  <si>
    <t>SR15-546</t>
  </si>
  <si>
    <t>V622</t>
  </si>
  <si>
    <t>V582</t>
  </si>
  <si>
    <t>SR12-66</t>
  </si>
  <si>
    <t>SR15-273</t>
  </si>
  <si>
    <t>SR12-181</t>
  </si>
  <si>
    <t>V584</t>
  </si>
  <si>
    <t>P2530</t>
  </si>
  <si>
    <t>SR12-65T3</t>
  </si>
  <si>
    <t>V583</t>
  </si>
  <si>
    <t>SR12-189</t>
  </si>
  <si>
    <t>SR12-50</t>
  </si>
  <si>
    <t>SR13-18</t>
  </si>
  <si>
    <t>SR12-95</t>
  </si>
  <si>
    <t>SR12-190</t>
  </si>
  <si>
    <t>SR15-88</t>
  </si>
  <si>
    <t>SR13-1</t>
  </si>
  <si>
    <t>SR13-008T1</t>
  </si>
  <si>
    <t>Supplementary dataset 1</t>
  </si>
  <si>
    <t>The "data check" column summarizes  results of manual inspection of PRM data in Skyline</t>
  </si>
  <si>
    <t>"p" denotes "pass", which indicates that at least two of three selected PRM transitions were confirmed as co-eluting and in correct intensity order</t>
  </si>
  <si>
    <t>"f" denotes "fail, which indicates that criteria for "pass" were not met</t>
  </si>
  <si>
    <t>These tabs contain peak area, QC evaluation (data check) and calculated protein amounts for targeted MS measurements.</t>
  </si>
  <si>
    <t>VISTA (VSIR)</t>
  </si>
  <si>
    <t>GITR (TNFRSF18)</t>
  </si>
  <si>
    <t>TIM-3 (HAVCR2)</t>
  </si>
  <si>
    <t>PD-L2 (PDCD1LG2)</t>
  </si>
  <si>
    <t>PD-L1 (CD274)</t>
  </si>
  <si>
    <t>PD-1 (PDCD1)</t>
  </si>
  <si>
    <t>Analysis of Immune Checkpoint Drug Targets and Tumor Proteotypes in Non-Small Cell Lung Cancer</t>
  </si>
  <si>
    <r>
      <t>Daniel C. Liebler</t>
    </r>
    <r>
      <rPr>
        <vertAlign val="superscript"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>*, Timothy R. Holzer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Alexander Haragan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, Ryan D. Morrison</t>
    </r>
    <r>
      <rPr>
        <vertAlign val="superscript"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>, Leslie O’Neill Reising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Bradley L. Ackerman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Jeff A. Fill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Andrew E. Schade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, and Aaron M. Gruver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</si>
</sst>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</cellStyleXfs>
  <cellXfs count="11">
    <xf numFmtId="0" fontId="0" fillId="0" borderId="0" xfId="0"/>
    <xf numFmtId="0" fontId="1" fillId="0" borderId="0" xfId="43"/>
    <xf numFmtId="1" fontId="0" fillId="0" borderId="0" xfId="0" applyNumberFormat="1"/>
    <xf numFmtId="2" fontId="0" fillId="0" borderId="0" xfId="0" applyNumberFormat="1"/>
    <xf numFmtId="0" fontId="0" fillId="0" borderId="0" xfId="43" applyFont="1"/>
    <xf numFmtId="0" fontId="0" fillId="0" borderId="0" xfId="0" applyFont="1"/>
    <xf numFmtId="0" fontId="20" fillId="0" borderId="0" xfId="0" applyFont="1" applyAlignment="1">
      <alignment horizontal="left"/>
    </xf>
    <xf numFmtId="0" fontId="20" fillId="0" borderId="0" xfId="0" applyFont="1"/>
    <xf numFmtId="0" fontId="19" fillId="0" borderId="0" xfId="0" applyFont="1"/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D23413B-9B43-B343-9484-903565EFED33}"/>
    <cellStyle name="Normal 3" xfId="43" xr:uid="{FD76BF23-E3AB-4209-B653-C80905C052B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0E30-D7F1-6D46-ACF7-4378C8C69047}">
  <dimension ref="A1:B19"/>
  <sheetViews>
    <sheetView tabSelected="1" workbookViewId="0">
      <selection sqref="A1:XFD1"/>
    </sheetView>
  </sheetViews>
  <sheetFormatPr baseColWidth="10" defaultRowHeight="15" x14ac:dyDescent="0.2"/>
  <sheetData>
    <row r="1" spans="1:2" ht="18" x14ac:dyDescent="0.2">
      <c r="A1" s="9" t="s">
        <v>69</v>
      </c>
    </row>
    <row r="3" spans="1:2" ht="18" x14ac:dyDescent="0.2">
      <c r="A3" s="10" t="s">
        <v>70</v>
      </c>
    </row>
    <row r="6" spans="1:2" ht="21" x14ac:dyDescent="0.25">
      <c r="A6" s="7" t="s">
        <v>58</v>
      </c>
    </row>
    <row r="8" spans="1:2" s="8" customFormat="1" ht="19" x14ac:dyDescent="0.25">
      <c r="A8" s="8" t="s">
        <v>62</v>
      </c>
    </row>
    <row r="9" spans="1:2" s="8" customFormat="1" ht="19" x14ac:dyDescent="0.25"/>
    <row r="10" spans="1:2" s="8" customFormat="1" ht="19" x14ac:dyDescent="0.25">
      <c r="A10" s="8" t="s">
        <v>59</v>
      </c>
    </row>
    <row r="11" spans="1:2" s="8" customFormat="1" ht="19" x14ac:dyDescent="0.25">
      <c r="B11" s="8" t="s">
        <v>60</v>
      </c>
    </row>
    <row r="12" spans="1:2" s="8" customFormat="1" ht="19" x14ac:dyDescent="0.25">
      <c r="B12" s="8" t="s">
        <v>61</v>
      </c>
    </row>
    <row r="13" spans="1:2" s="8" customFormat="1" ht="19" x14ac:dyDescent="0.25"/>
    <row r="14" spans="1:2" s="8" customFormat="1" ht="19" x14ac:dyDescent="0.25"/>
    <row r="15" spans="1:2" s="8" customFormat="1" ht="19" x14ac:dyDescent="0.25"/>
    <row r="16" spans="1:2" s="8" customFormat="1" ht="19" x14ac:dyDescent="0.25"/>
    <row r="17" s="8" customFormat="1" ht="19" x14ac:dyDescent="0.25"/>
    <row r="18" s="8" customFormat="1" ht="19" x14ac:dyDescent="0.25"/>
    <row r="19" s="8" customFormat="1" ht="19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43BF-D4D4-E640-9CEC-90B892607079}">
  <dimension ref="A1:F48"/>
  <sheetViews>
    <sheetView workbookViewId="0"/>
  </sheetViews>
  <sheetFormatPr baseColWidth="10" defaultColWidth="8.83203125" defaultRowHeight="15" x14ac:dyDescent="0.2"/>
  <cols>
    <col min="1" max="1" width="12.83203125" customWidth="1"/>
    <col min="2" max="2" width="11.33203125" customWidth="1"/>
    <col min="3" max="3" width="11.6640625" customWidth="1"/>
    <col min="4" max="4" width="15.1640625" customWidth="1"/>
    <col min="5" max="5" width="10.33203125" customWidth="1"/>
    <col min="6" max="6" width="15.33203125" bestFit="1" customWidth="1"/>
  </cols>
  <sheetData>
    <row r="1" spans="1:6" ht="21" x14ac:dyDescent="0.25">
      <c r="A1" s="6" t="s">
        <v>68</v>
      </c>
    </row>
    <row r="2" spans="1:6" x14ac:dyDescent="0.2">
      <c r="A2" t="s">
        <v>7</v>
      </c>
      <c r="B2" t="s">
        <v>1</v>
      </c>
      <c r="C2" t="s">
        <v>2</v>
      </c>
      <c r="D2" t="s">
        <v>0</v>
      </c>
      <c r="E2" t="s">
        <v>3</v>
      </c>
      <c r="F2" t="s">
        <v>6</v>
      </c>
    </row>
    <row r="3" spans="1:6" x14ac:dyDescent="0.2">
      <c r="A3" t="s">
        <v>22</v>
      </c>
      <c r="B3">
        <v>50025</v>
      </c>
      <c r="C3">
        <v>109276704</v>
      </c>
      <c r="D3">
        <v>5.0000000000000001E-4</v>
      </c>
      <c r="E3" t="s">
        <v>5</v>
      </c>
      <c r="F3">
        <v>0</v>
      </c>
    </row>
    <row r="4" spans="1:6" x14ac:dyDescent="0.2">
      <c r="A4" t="s">
        <v>8</v>
      </c>
      <c r="B4">
        <v>25477</v>
      </c>
      <c r="C4">
        <v>130784336</v>
      </c>
      <c r="D4">
        <v>2.0000000000000001E-4</v>
      </c>
      <c r="E4" t="s">
        <v>5</v>
      </c>
      <c r="F4">
        <v>0</v>
      </c>
    </row>
    <row r="5" spans="1:6" x14ac:dyDescent="0.2">
      <c r="A5" t="s">
        <v>9</v>
      </c>
      <c r="B5">
        <v>417629</v>
      </c>
      <c r="C5">
        <v>94971504</v>
      </c>
      <c r="D5">
        <v>4.4000000000000003E-3</v>
      </c>
      <c r="E5" t="s">
        <v>4</v>
      </c>
      <c r="F5">
        <f>D5*4</f>
        <v>1.7600000000000001E-2</v>
      </c>
    </row>
    <row r="6" spans="1:6" x14ac:dyDescent="0.2">
      <c r="A6" t="s">
        <v>23</v>
      </c>
      <c r="B6">
        <v>5568418</v>
      </c>
      <c r="C6">
        <v>58687216</v>
      </c>
      <c r="D6">
        <v>9.4899999999999998E-2</v>
      </c>
      <c r="E6" t="s">
        <v>4</v>
      </c>
      <c r="F6">
        <f>D6*4</f>
        <v>0.37959999999999999</v>
      </c>
    </row>
    <row r="7" spans="1:6" x14ac:dyDescent="0.2">
      <c r="A7" t="s">
        <v>14</v>
      </c>
      <c r="B7">
        <v>35562</v>
      </c>
      <c r="C7">
        <v>76263464</v>
      </c>
      <c r="D7">
        <v>5.0000000000000001E-4</v>
      </c>
      <c r="E7" t="s">
        <v>5</v>
      </c>
      <c r="F7">
        <v>0</v>
      </c>
    </row>
    <row r="8" spans="1:6" x14ac:dyDescent="0.2">
      <c r="A8" t="s">
        <v>10</v>
      </c>
      <c r="B8">
        <v>62959</v>
      </c>
      <c r="C8">
        <v>23750072</v>
      </c>
      <c r="D8">
        <v>2.7000000000000001E-3</v>
      </c>
      <c r="E8" t="s">
        <v>4</v>
      </c>
      <c r="F8">
        <f>D8*4</f>
        <v>1.0800000000000001E-2</v>
      </c>
    </row>
    <row r="9" spans="1:6" x14ac:dyDescent="0.2">
      <c r="A9" t="s">
        <v>15</v>
      </c>
      <c r="B9">
        <v>211528</v>
      </c>
      <c r="C9">
        <v>74889296</v>
      </c>
      <c r="D9">
        <v>2.8E-3</v>
      </c>
      <c r="E9" t="s">
        <v>5</v>
      </c>
      <c r="F9">
        <v>0</v>
      </c>
    </row>
    <row r="10" spans="1:6" x14ac:dyDescent="0.2">
      <c r="A10" t="s">
        <v>24</v>
      </c>
      <c r="B10">
        <v>1094950</v>
      </c>
      <c r="C10">
        <v>90561472</v>
      </c>
      <c r="D10">
        <v>1.21E-2</v>
      </c>
      <c r="E10" t="s">
        <v>4</v>
      </c>
      <c r="F10">
        <f>D10*4</f>
        <v>4.8399999999999999E-2</v>
      </c>
    </row>
    <row r="11" spans="1:6" x14ac:dyDescent="0.2">
      <c r="A11" t="s">
        <v>11</v>
      </c>
      <c r="B11">
        <v>33990</v>
      </c>
      <c r="C11">
        <v>40735752</v>
      </c>
      <c r="D11">
        <v>8.0000000000000004E-4</v>
      </c>
      <c r="E11" t="s">
        <v>5</v>
      </c>
      <c r="F11">
        <v>0</v>
      </c>
    </row>
    <row r="12" spans="1:6" x14ac:dyDescent="0.2">
      <c r="A12" t="s">
        <v>25</v>
      </c>
      <c r="B12">
        <v>77293</v>
      </c>
      <c r="C12">
        <v>35308192</v>
      </c>
      <c r="D12">
        <v>2.2000000000000001E-3</v>
      </c>
      <c r="E12" t="s">
        <v>5</v>
      </c>
      <c r="F12">
        <v>0</v>
      </c>
    </row>
    <row r="13" spans="1:6" x14ac:dyDescent="0.2">
      <c r="A13" t="s">
        <v>12</v>
      </c>
      <c r="B13">
        <v>99936</v>
      </c>
      <c r="C13">
        <v>53290928</v>
      </c>
      <c r="D13">
        <v>1.9E-3</v>
      </c>
      <c r="E13" t="s">
        <v>5</v>
      </c>
      <c r="F13">
        <v>0</v>
      </c>
    </row>
    <row r="14" spans="1:6" x14ac:dyDescent="0.2">
      <c r="A14" t="s">
        <v>13</v>
      </c>
      <c r="B14">
        <v>0</v>
      </c>
      <c r="C14">
        <v>553445</v>
      </c>
      <c r="D14">
        <v>0</v>
      </c>
      <c r="E14" t="s">
        <v>5</v>
      </c>
      <c r="F14">
        <v>0</v>
      </c>
    </row>
    <row r="15" spans="1:6" x14ac:dyDescent="0.2">
      <c r="A15" t="s">
        <v>16</v>
      </c>
      <c r="B15">
        <v>0</v>
      </c>
      <c r="C15">
        <v>45953672</v>
      </c>
      <c r="D15">
        <v>0</v>
      </c>
      <c r="E15" t="s">
        <v>5</v>
      </c>
      <c r="F15">
        <v>0</v>
      </c>
    </row>
    <row r="16" spans="1:6" x14ac:dyDescent="0.2">
      <c r="A16" t="s">
        <v>17</v>
      </c>
      <c r="B16">
        <v>95664</v>
      </c>
      <c r="C16">
        <v>45899620</v>
      </c>
      <c r="D16">
        <v>2.0999999999999999E-3</v>
      </c>
      <c r="E16" t="s">
        <v>5</v>
      </c>
      <c r="F16">
        <v>0</v>
      </c>
    </row>
    <row r="17" spans="1:6" x14ac:dyDescent="0.2">
      <c r="A17" t="s">
        <v>26</v>
      </c>
      <c r="B17">
        <v>1003305</v>
      </c>
      <c r="C17">
        <v>43233440</v>
      </c>
      <c r="D17">
        <v>2.3199999999999998E-2</v>
      </c>
      <c r="E17" t="s">
        <v>4</v>
      </c>
      <c r="F17">
        <f>D17*4</f>
        <v>9.2799999999999994E-2</v>
      </c>
    </row>
    <row r="18" spans="1:6" x14ac:dyDescent="0.2">
      <c r="A18" t="s">
        <v>18</v>
      </c>
      <c r="B18">
        <v>294905</v>
      </c>
      <c r="C18">
        <v>42026612</v>
      </c>
      <c r="D18">
        <v>7.0000000000000001E-3</v>
      </c>
      <c r="E18" t="s">
        <v>5</v>
      </c>
      <c r="F18">
        <v>0</v>
      </c>
    </row>
    <row r="19" spans="1:6" x14ac:dyDescent="0.2">
      <c r="A19" t="s">
        <v>19</v>
      </c>
      <c r="B19">
        <v>65026</v>
      </c>
      <c r="C19">
        <v>81014928</v>
      </c>
      <c r="D19">
        <v>8.0000000000000004E-4</v>
      </c>
      <c r="E19" t="s">
        <v>4</v>
      </c>
      <c r="F19">
        <f>D19*4</f>
        <v>3.2000000000000002E-3</v>
      </c>
    </row>
    <row r="20" spans="1:6" x14ac:dyDescent="0.2">
      <c r="A20" t="s">
        <v>20</v>
      </c>
      <c r="B20">
        <v>145807</v>
      </c>
      <c r="C20">
        <v>44007632</v>
      </c>
      <c r="D20">
        <v>3.3E-3</v>
      </c>
      <c r="E20" t="s">
        <v>5</v>
      </c>
      <c r="F20">
        <v>0</v>
      </c>
    </row>
    <row r="21" spans="1:6" x14ac:dyDescent="0.2">
      <c r="A21" t="s">
        <v>21</v>
      </c>
      <c r="B21">
        <v>128197</v>
      </c>
      <c r="C21">
        <v>59488976</v>
      </c>
      <c r="D21">
        <v>2.2000000000000001E-3</v>
      </c>
      <c r="E21" t="s">
        <v>4</v>
      </c>
      <c r="F21">
        <f>D21*4</f>
        <v>8.8000000000000005E-3</v>
      </c>
    </row>
    <row r="22" spans="1:6" x14ac:dyDescent="0.2">
      <c r="A22" t="s">
        <v>27</v>
      </c>
      <c r="B22">
        <v>65939</v>
      </c>
      <c r="C22">
        <v>42485248</v>
      </c>
      <c r="D22">
        <v>1.6000000000000001E-3</v>
      </c>
      <c r="E22" t="s">
        <v>5</v>
      </c>
      <c r="F22">
        <v>0</v>
      </c>
    </row>
    <row r="23" spans="1:6" x14ac:dyDescent="0.2">
      <c r="A23" s="4" t="s">
        <v>47</v>
      </c>
      <c r="B23" s="1">
        <v>0</v>
      </c>
      <c r="C23" s="1">
        <v>13650578</v>
      </c>
      <c r="D23" s="1">
        <f t="shared" ref="D23:D48" si="0">B23/C23</f>
        <v>0</v>
      </c>
      <c r="E23" s="1" t="s">
        <v>5</v>
      </c>
      <c r="F23" s="1">
        <v>0</v>
      </c>
    </row>
    <row r="24" spans="1:6" x14ac:dyDescent="0.2">
      <c r="A24" s="1" t="s">
        <v>38</v>
      </c>
      <c r="B24" s="1">
        <v>228771</v>
      </c>
      <c r="C24" s="1">
        <v>7189745</v>
      </c>
      <c r="D24" s="1">
        <f t="shared" si="0"/>
        <v>3.1819070078285112E-2</v>
      </c>
      <c r="E24" s="1" t="s">
        <v>4</v>
      </c>
      <c r="F24">
        <f>D24*4</f>
        <v>0.12727628031314045</v>
      </c>
    </row>
    <row r="25" spans="1:6" x14ac:dyDescent="0.2">
      <c r="A25" s="1" t="s">
        <v>34</v>
      </c>
      <c r="B25" s="1">
        <v>249134</v>
      </c>
      <c r="C25" s="1">
        <v>10687931</v>
      </c>
      <c r="D25" s="1">
        <f t="shared" si="0"/>
        <v>2.3309843598354068E-2</v>
      </c>
      <c r="E25" s="1" t="s">
        <v>4</v>
      </c>
      <c r="F25">
        <f>D25*4</f>
        <v>9.3239374393416272E-2</v>
      </c>
    </row>
    <row r="26" spans="1:6" x14ac:dyDescent="0.2">
      <c r="A26" s="1" t="s">
        <v>45</v>
      </c>
      <c r="B26" s="1">
        <v>70023</v>
      </c>
      <c r="C26" s="1">
        <v>10067400</v>
      </c>
      <c r="D26" s="1">
        <f t="shared" si="0"/>
        <v>6.955420466058764E-3</v>
      </c>
      <c r="E26" s="1" t="s">
        <v>4</v>
      </c>
      <c r="F26">
        <f>D26*4</f>
        <v>2.7821681864235056E-2</v>
      </c>
    </row>
    <row r="27" spans="1:6" x14ac:dyDescent="0.2">
      <c r="A27" s="1" t="s">
        <v>50</v>
      </c>
      <c r="B27" s="1">
        <v>0</v>
      </c>
      <c r="C27" s="1">
        <v>12824487</v>
      </c>
      <c r="D27" s="1">
        <f t="shared" si="0"/>
        <v>0</v>
      </c>
      <c r="E27" s="1" t="s">
        <v>5</v>
      </c>
      <c r="F27" s="1">
        <v>0</v>
      </c>
    </row>
    <row r="28" spans="1:6" x14ac:dyDescent="0.2">
      <c r="A28" s="1" t="s">
        <v>54</v>
      </c>
      <c r="B28" s="1">
        <v>0</v>
      </c>
      <c r="C28" s="1">
        <v>19741534</v>
      </c>
      <c r="D28" s="1">
        <f t="shared" si="0"/>
        <v>0</v>
      </c>
      <c r="E28" s="1" t="s">
        <v>5</v>
      </c>
      <c r="F28" s="1">
        <v>0</v>
      </c>
    </row>
    <row r="29" spans="1:6" x14ac:dyDescent="0.2">
      <c r="A29" s="1" t="s">
        <v>51</v>
      </c>
      <c r="B29" s="1">
        <v>0</v>
      </c>
      <c r="C29" s="1">
        <v>16384892</v>
      </c>
      <c r="D29" s="1">
        <f t="shared" si="0"/>
        <v>0</v>
      </c>
      <c r="E29" s="1" t="s">
        <v>5</v>
      </c>
      <c r="F29" s="1">
        <v>0</v>
      </c>
    </row>
    <row r="30" spans="1:6" x14ac:dyDescent="0.2">
      <c r="A30" s="1" t="s">
        <v>48</v>
      </c>
      <c r="B30" s="1">
        <v>121462</v>
      </c>
      <c r="C30" s="1">
        <v>18676050</v>
      </c>
      <c r="D30" s="1">
        <f t="shared" si="0"/>
        <v>6.503623624909978E-3</v>
      </c>
      <c r="E30" s="1" t="s">
        <v>4</v>
      </c>
      <c r="F30">
        <f t="shared" ref="F30:F43" si="1">D30*4</f>
        <v>2.6014494499639912E-2</v>
      </c>
    </row>
    <row r="31" spans="1:6" x14ac:dyDescent="0.2">
      <c r="A31" s="1" t="s">
        <v>43</v>
      </c>
      <c r="B31" s="1">
        <v>240562</v>
      </c>
      <c r="C31" s="1">
        <v>9525066</v>
      </c>
      <c r="D31" s="1">
        <f t="shared" si="0"/>
        <v>2.5255678018399032E-2</v>
      </c>
      <c r="E31" s="1" t="s">
        <v>4</v>
      </c>
      <c r="F31">
        <f t="shared" si="1"/>
        <v>0.10102271207359613</v>
      </c>
    </row>
    <row r="32" spans="1:6" x14ac:dyDescent="0.2">
      <c r="A32" s="1" t="s">
        <v>53</v>
      </c>
      <c r="B32" s="1">
        <v>90275</v>
      </c>
      <c r="C32" s="1">
        <v>10966803</v>
      </c>
      <c r="D32" s="1">
        <f t="shared" si="0"/>
        <v>8.2316605851313271E-3</v>
      </c>
      <c r="E32" s="1" t="s">
        <v>4</v>
      </c>
      <c r="F32">
        <f t="shared" si="1"/>
        <v>3.2926642340525308E-2</v>
      </c>
    </row>
    <row r="33" spans="1:6" x14ac:dyDescent="0.2">
      <c r="A33" s="1" t="s">
        <v>35</v>
      </c>
      <c r="B33" s="1">
        <v>172904</v>
      </c>
      <c r="C33" s="1">
        <v>5879180</v>
      </c>
      <c r="D33" s="1">
        <f t="shared" si="0"/>
        <v>2.9409543507768091E-2</v>
      </c>
      <c r="E33" s="1" t="s">
        <v>4</v>
      </c>
      <c r="F33">
        <f t="shared" si="1"/>
        <v>0.11763817403107237</v>
      </c>
    </row>
    <row r="34" spans="1:6" x14ac:dyDescent="0.2">
      <c r="A34" s="5" t="s">
        <v>57</v>
      </c>
      <c r="B34" s="1">
        <v>39398</v>
      </c>
      <c r="C34" s="1">
        <v>8510137</v>
      </c>
      <c r="D34" s="1">
        <f t="shared" si="0"/>
        <v>4.6295376913438645E-3</v>
      </c>
      <c r="E34" s="1" t="s">
        <v>4</v>
      </c>
      <c r="F34">
        <f t="shared" si="1"/>
        <v>1.8518150765375458E-2</v>
      </c>
    </row>
    <row r="35" spans="1:6" x14ac:dyDescent="0.2">
      <c r="A35" s="4" t="s">
        <v>56</v>
      </c>
      <c r="B35" s="1">
        <v>405734</v>
      </c>
      <c r="C35" s="1">
        <v>11142536</v>
      </c>
      <c r="D35" s="1">
        <f t="shared" si="0"/>
        <v>3.6413075084522947E-2</v>
      </c>
      <c r="E35" s="1" t="s">
        <v>4</v>
      </c>
      <c r="F35">
        <f t="shared" si="1"/>
        <v>0.14565230033809179</v>
      </c>
    </row>
    <row r="36" spans="1:6" x14ac:dyDescent="0.2">
      <c r="A36" s="1" t="s">
        <v>52</v>
      </c>
      <c r="B36" s="1">
        <v>141133</v>
      </c>
      <c r="C36" s="1">
        <v>15054910</v>
      </c>
      <c r="D36" s="1">
        <f t="shared" si="0"/>
        <v>9.3745495655570173E-3</v>
      </c>
      <c r="E36" s="1" t="s">
        <v>4</v>
      </c>
      <c r="F36">
        <f t="shared" si="1"/>
        <v>3.7498198262228069E-2</v>
      </c>
    </row>
    <row r="37" spans="1:6" x14ac:dyDescent="0.2">
      <c r="A37" s="1" t="s">
        <v>44</v>
      </c>
      <c r="B37" s="1">
        <v>52605</v>
      </c>
      <c r="C37" s="1">
        <v>11934866</v>
      </c>
      <c r="D37" s="1">
        <f t="shared" si="0"/>
        <v>4.4076741205137954E-3</v>
      </c>
      <c r="E37" s="1" t="s">
        <v>4</v>
      </c>
      <c r="F37">
        <f t="shared" si="1"/>
        <v>1.7630696482055182E-2</v>
      </c>
    </row>
    <row r="38" spans="1:6" x14ac:dyDescent="0.2">
      <c r="A38" s="1" t="s">
        <v>40</v>
      </c>
      <c r="B38" s="1">
        <v>285704</v>
      </c>
      <c r="C38" s="1">
        <v>8460867</v>
      </c>
      <c r="D38" s="1">
        <f t="shared" si="0"/>
        <v>3.3767697802128314E-2</v>
      </c>
      <c r="E38" s="1" t="s">
        <v>4</v>
      </c>
      <c r="F38">
        <f t="shared" si="1"/>
        <v>0.13507079120851326</v>
      </c>
    </row>
    <row r="39" spans="1:6" x14ac:dyDescent="0.2">
      <c r="A39" s="1" t="s">
        <v>36</v>
      </c>
      <c r="B39" s="1">
        <v>89672</v>
      </c>
      <c r="C39" s="1">
        <v>3288570</v>
      </c>
      <c r="D39" s="1">
        <f t="shared" si="0"/>
        <v>2.7267779004248045E-2</v>
      </c>
      <c r="E39" s="1" t="s">
        <v>4</v>
      </c>
      <c r="F39">
        <f t="shared" si="1"/>
        <v>0.10907111601699218</v>
      </c>
    </row>
    <row r="40" spans="1:6" x14ac:dyDescent="0.2">
      <c r="A40" s="4" t="s">
        <v>55</v>
      </c>
      <c r="B40" s="1">
        <v>89567</v>
      </c>
      <c r="C40" s="1">
        <v>10400910</v>
      </c>
      <c r="D40" s="1">
        <f t="shared" si="0"/>
        <v>8.6114580358833993E-3</v>
      </c>
      <c r="E40" s="1" t="s">
        <v>4</v>
      </c>
      <c r="F40">
        <f t="shared" si="1"/>
        <v>3.4445832143533597E-2</v>
      </c>
    </row>
    <row r="41" spans="1:6" x14ac:dyDescent="0.2">
      <c r="A41" s="1" t="s">
        <v>39</v>
      </c>
      <c r="B41" s="1">
        <v>61722</v>
      </c>
      <c r="C41" s="1">
        <v>8218046</v>
      </c>
      <c r="D41" s="1">
        <f t="shared" si="0"/>
        <v>7.5105444773611637E-3</v>
      </c>
      <c r="E41" s="1" t="s">
        <v>4</v>
      </c>
      <c r="F41">
        <f t="shared" si="1"/>
        <v>3.0042177909444655E-2</v>
      </c>
    </row>
    <row r="42" spans="1:6" x14ac:dyDescent="0.2">
      <c r="A42" s="1" t="s">
        <v>33</v>
      </c>
      <c r="B42" s="1">
        <v>100754</v>
      </c>
      <c r="C42" s="1">
        <v>12870686</v>
      </c>
      <c r="D42" s="1">
        <f t="shared" si="0"/>
        <v>7.8281763691539046E-3</v>
      </c>
      <c r="E42" s="1" t="s">
        <v>4</v>
      </c>
      <c r="F42">
        <f t="shared" si="1"/>
        <v>3.1312705476615618E-2</v>
      </c>
    </row>
    <row r="43" spans="1:6" x14ac:dyDescent="0.2">
      <c r="A43" s="1" t="s">
        <v>42</v>
      </c>
      <c r="B43" s="1">
        <v>57810</v>
      </c>
      <c r="C43" s="1">
        <v>2999380</v>
      </c>
      <c r="D43" s="1">
        <f t="shared" si="0"/>
        <v>1.927398328987991E-2</v>
      </c>
      <c r="E43" s="1" t="s">
        <v>4</v>
      </c>
      <c r="F43">
        <f t="shared" si="1"/>
        <v>7.7095933159519639E-2</v>
      </c>
    </row>
    <row r="44" spans="1:6" x14ac:dyDescent="0.2">
      <c r="A44" s="1" t="s">
        <v>49</v>
      </c>
      <c r="B44" s="1">
        <v>0</v>
      </c>
      <c r="C44" s="1">
        <v>11337387</v>
      </c>
      <c r="D44" s="1">
        <f t="shared" si="0"/>
        <v>0</v>
      </c>
      <c r="E44" s="1" t="s">
        <v>5</v>
      </c>
      <c r="F44" s="1">
        <v>0</v>
      </c>
    </row>
    <row r="45" spans="1:6" x14ac:dyDescent="0.2">
      <c r="A45" s="1" t="s">
        <v>46</v>
      </c>
      <c r="B45" s="1">
        <v>160764</v>
      </c>
      <c r="C45" s="1">
        <v>7451707</v>
      </c>
      <c r="D45" s="1">
        <f t="shared" si="0"/>
        <v>2.1574117178788699E-2</v>
      </c>
      <c r="E45" s="1" t="s">
        <v>4</v>
      </c>
      <c r="F45">
        <f>D45*4</f>
        <v>8.6296468715154798E-2</v>
      </c>
    </row>
    <row r="46" spans="1:6" x14ac:dyDescent="0.2">
      <c r="A46" s="1" t="s">
        <v>41</v>
      </c>
      <c r="B46" s="1">
        <v>0</v>
      </c>
      <c r="C46" s="1">
        <v>12078252</v>
      </c>
      <c r="D46" s="1">
        <f t="shared" si="0"/>
        <v>0</v>
      </c>
      <c r="E46" s="1" t="s">
        <v>5</v>
      </c>
      <c r="F46" s="1">
        <v>0</v>
      </c>
    </row>
    <row r="47" spans="1:6" x14ac:dyDescent="0.2">
      <c r="A47" s="1" t="s">
        <v>37</v>
      </c>
      <c r="B47" s="1">
        <v>199267</v>
      </c>
      <c r="C47" s="1">
        <v>5675903</v>
      </c>
      <c r="D47" s="1">
        <f t="shared" si="0"/>
        <v>3.5107541478422023E-2</v>
      </c>
      <c r="E47" s="1" t="s">
        <v>4</v>
      </c>
      <c r="F47">
        <f>D47*4</f>
        <v>0.14043016591368809</v>
      </c>
    </row>
    <row r="48" spans="1:6" x14ac:dyDescent="0.2">
      <c r="A48" s="1" t="s">
        <v>32</v>
      </c>
      <c r="B48" s="1">
        <v>131552</v>
      </c>
      <c r="C48" s="1">
        <v>5329503</v>
      </c>
      <c r="D48" s="1">
        <f t="shared" si="0"/>
        <v>2.4683727544575922E-2</v>
      </c>
      <c r="E48" s="1" t="s">
        <v>4</v>
      </c>
      <c r="F48">
        <f>D48*4</f>
        <v>9.8734910178303686E-2</v>
      </c>
    </row>
  </sheetData>
  <sortState xmlns:xlrd2="http://schemas.microsoft.com/office/spreadsheetml/2017/richdata2" ref="A3:F22">
    <sortCondition ref="A3:A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2F8C-14C7-4F95-A4A9-D46667C75844}">
  <dimension ref="A1:F53"/>
  <sheetViews>
    <sheetView workbookViewId="0"/>
  </sheetViews>
  <sheetFormatPr baseColWidth="10" defaultColWidth="8.83203125" defaultRowHeight="15" x14ac:dyDescent="0.2"/>
  <cols>
    <col min="1" max="1" width="29.83203125" bestFit="1" customWidth="1"/>
    <col min="2" max="2" width="11.33203125" customWidth="1"/>
    <col min="3" max="3" width="11.6640625" customWidth="1"/>
    <col min="4" max="4" width="15.1640625" customWidth="1"/>
    <col min="5" max="5" width="10.33203125" customWidth="1"/>
    <col min="6" max="6" width="15.33203125" bestFit="1" customWidth="1"/>
  </cols>
  <sheetData>
    <row r="1" spans="1:6" ht="21" x14ac:dyDescent="0.25">
      <c r="A1" s="6" t="s">
        <v>67</v>
      </c>
    </row>
    <row r="2" spans="1:6" x14ac:dyDescent="0.2">
      <c r="A2" t="s">
        <v>7</v>
      </c>
      <c r="B2" t="s">
        <v>1</v>
      </c>
      <c r="C2" t="s">
        <v>2</v>
      </c>
      <c r="D2" t="s">
        <v>0</v>
      </c>
      <c r="E2" t="s">
        <v>3</v>
      </c>
      <c r="F2" t="s">
        <v>6</v>
      </c>
    </row>
    <row r="3" spans="1:6" x14ac:dyDescent="0.2">
      <c r="A3" t="s">
        <v>22</v>
      </c>
      <c r="B3">
        <v>825597</v>
      </c>
      <c r="C3">
        <v>95614784</v>
      </c>
      <c r="D3">
        <v>8.6E-3</v>
      </c>
      <c r="E3" t="s">
        <v>5</v>
      </c>
      <c r="F3">
        <v>0</v>
      </c>
    </row>
    <row r="4" spans="1:6" x14ac:dyDescent="0.2">
      <c r="A4" t="s">
        <v>8</v>
      </c>
      <c r="B4">
        <v>5652976</v>
      </c>
      <c r="C4">
        <v>44681736</v>
      </c>
      <c r="D4">
        <v>0.1265</v>
      </c>
      <c r="E4" t="s">
        <v>4</v>
      </c>
      <c r="F4">
        <f>D4*4</f>
        <v>0.50600000000000001</v>
      </c>
    </row>
    <row r="5" spans="1:6" x14ac:dyDescent="0.2">
      <c r="A5" t="s">
        <v>9</v>
      </c>
      <c r="B5">
        <v>2352688</v>
      </c>
      <c r="C5">
        <v>30707804</v>
      </c>
      <c r="D5">
        <v>7.6600000000000001E-2</v>
      </c>
      <c r="E5" t="s">
        <v>4</v>
      </c>
      <c r="F5">
        <f>D5*4</f>
        <v>0.30640000000000001</v>
      </c>
    </row>
    <row r="6" spans="1:6" x14ac:dyDescent="0.2">
      <c r="A6" t="s">
        <v>23</v>
      </c>
      <c r="B6">
        <v>2862448</v>
      </c>
      <c r="C6">
        <v>25213414</v>
      </c>
      <c r="D6">
        <v>0.1135</v>
      </c>
      <c r="E6" t="s">
        <v>4</v>
      </c>
      <c r="F6">
        <f>D6*4</f>
        <v>0.45400000000000001</v>
      </c>
    </row>
    <row r="7" spans="1:6" x14ac:dyDescent="0.2">
      <c r="A7" t="s">
        <v>14</v>
      </c>
      <c r="B7">
        <v>165583</v>
      </c>
      <c r="C7">
        <v>21540508</v>
      </c>
      <c r="D7">
        <v>7.7000000000000002E-3</v>
      </c>
      <c r="E7" t="s">
        <v>5</v>
      </c>
      <c r="F7">
        <v>0</v>
      </c>
    </row>
    <row r="8" spans="1:6" x14ac:dyDescent="0.2">
      <c r="A8" t="s">
        <v>10</v>
      </c>
      <c r="B8">
        <v>343041</v>
      </c>
      <c r="C8">
        <v>11017630</v>
      </c>
      <c r="D8">
        <v>3.1099999999999999E-2</v>
      </c>
      <c r="E8" t="s">
        <v>4</v>
      </c>
      <c r="F8">
        <f>D8*4</f>
        <v>0.1244</v>
      </c>
    </row>
    <row r="9" spans="1:6" x14ac:dyDescent="0.2">
      <c r="A9" t="s">
        <v>15</v>
      </c>
      <c r="B9">
        <v>1363509</v>
      </c>
      <c r="C9">
        <v>33847888</v>
      </c>
      <c r="D9">
        <v>4.0300000000000002E-2</v>
      </c>
      <c r="E9" t="s">
        <v>4</v>
      </c>
      <c r="F9">
        <f>D9*4</f>
        <v>0.16120000000000001</v>
      </c>
    </row>
    <row r="10" spans="1:6" x14ac:dyDescent="0.2">
      <c r="A10" t="s">
        <v>24</v>
      </c>
      <c r="B10">
        <v>4180927</v>
      </c>
      <c r="C10">
        <v>27211528</v>
      </c>
      <c r="D10">
        <v>0.15359999999999999</v>
      </c>
      <c r="E10" t="s">
        <v>4</v>
      </c>
      <c r="F10">
        <f>D10*4</f>
        <v>0.61439999999999995</v>
      </c>
    </row>
    <row r="11" spans="1:6" x14ac:dyDescent="0.2">
      <c r="A11" t="s">
        <v>11</v>
      </c>
      <c r="B11">
        <v>309329</v>
      </c>
      <c r="C11">
        <v>9124103</v>
      </c>
      <c r="D11">
        <v>3.39E-2</v>
      </c>
      <c r="E11" t="s">
        <v>4</v>
      </c>
      <c r="F11">
        <f>D11*4</f>
        <v>0.1356</v>
      </c>
    </row>
    <row r="12" spans="1:6" x14ac:dyDescent="0.2">
      <c r="A12" t="s">
        <v>25</v>
      </c>
      <c r="B12">
        <v>363415</v>
      </c>
      <c r="C12">
        <v>8254524</v>
      </c>
      <c r="D12">
        <v>4.3999999999999997E-2</v>
      </c>
      <c r="E12" t="s">
        <v>4</v>
      </c>
      <c r="F12">
        <f>D12*4</f>
        <v>0.17599999999999999</v>
      </c>
    </row>
    <row r="13" spans="1:6" x14ac:dyDescent="0.2">
      <c r="A13" t="s">
        <v>12</v>
      </c>
      <c r="B13">
        <v>68817</v>
      </c>
      <c r="C13">
        <v>14239154</v>
      </c>
      <c r="D13">
        <v>4.7999999999999996E-3</v>
      </c>
      <c r="E13" t="s">
        <v>5</v>
      </c>
      <c r="F13">
        <v>0</v>
      </c>
    </row>
    <row r="14" spans="1:6" x14ac:dyDescent="0.2">
      <c r="A14" t="s">
        <v>13</v>
      </c>
      <c r="B14">
        <v>25607</v>
      </c>
      <c r="C14">
        <v>304305</v>
      </c>
      <c r="D14">
        <v>8.4099999999999994E-2</v>
      </c>
      <c r="E14" t="s">
        <v>5</v>
      </c>
      <c r="F14">
        <v>0</v>
      </c>
    </row>
    <row r="15" spans="1:6" x14ac:dyDescent="0.2">
      <c r="A15" t="s">
        <v>16</v>
      </c>
      <c r="B15">
        <v>134456</v>
      </c>
      <c r="C15">
        <v>9174943</v>
      </c>
      <c r="D15">
        <v>1.47E-2</v>
      </c>
      <c r="E15" t="s">
        <v>4</v>
      </c>
      <c r="F15">
        <f t="shared" ref="F15:F20" si="0">D15*4</f>
        <v>5.8799999999999998E-2</v>
      </c>
    </row>
    <row r="16" spans="1:6" x14ac:dyDescent="0.2">
      <c r="A16" t="s">
        <v>17</v>
      </c>
      <c r="B16">
        <v>771746</v>
      </c>
      <c r="C16">
        <v>24911036</v>
      </c>
      <c r="D16">
        <v>3.1600000000000003E-2</v>
      </c>
      <c r="E16" t="s">
        <v>4</v>
      </c>
      <c r="F16">
        <f t="shared" si="0"/>
        <v>0.12640000000000001</v>
      </c>
    </row>
    <row r="17" spans="1:6" x14ac:dyDescent="0.2">
      <c r="A17" t="s">
        <v>26</v>
      </c>
      <c r="B17">
        <v>4107325</v>
      </c>
      <c r="C17">
        <v>16915650</v>
      </c>
      <c r="D17">
        <v>0.24279999999999999</v>
      </c>
      <c r="E17" t="s">
        <v>4</v>
      </c>
      <c r="F17">
        <f t="shared" si="0"/>
        <v>0.97119999999999995</v>
      </c>
    </row>
    <row r="18" spans="1:6" x14ac:dyDescent="0.2">
      <c r="A18" t="s">
        <v>18</v>
      </c>
      <c r="B18">
        <v>356111</v>
      </c>
      <c r="C18">
        <v>5981727</v>
      </c>
      <c r="D18">
        <v>7.9500000000000001E-2</v>
      </c>
      <c r="E18" t="s">
        <v>4</v>
      </c>
      <c r="F18">
        <f t="shared" si="0"/>
        <v>0.318</v>
      </c>
    </row>
    <row r="19" spans="1:6" x14ac:dyDescent="0.2">
      <c r="A19" t="s">
        <v>19</v>
      </c>
      <c r="B19">
        <v>461833</v>
      </c>
      <c r="C19">
        <v>23768886</v>
      </c>
      <c r="D19">
        <v>5.0000000000000001E-3</v>
      </c>
      <c r="E19" t="s">
        <v>4</v>
      </c>
      <c r="F19">
        <f t="shared" si="0"/>
        <v>0.02</v>
      </c>
    </row>
    <row r="20" spans="1:6" x14ac:dyDescent="0.2">
      <c r="A20" t="s">
        <v>20</v>
      </c>
      <c r="B20">
        <v>216961</v>
      </c>
      <c r="C20">
        <v>17288422</v>
      </c>
      <c r="D20">
        <v>1.44E-2</v>
      </c>
      <c r="E20" t="s">
        <v>4</v>
      </c>
      <c r="F20">
        <f t="shared" si="0"/>
        <v>5.7599999999999998E-2</v>
      </c>
    </row>
    <row r="21" spans="1:6" x14ac:dyDescent="0.2">
      <c r="A21" t="s">
        <v>21</v>
      </c>
      <c r="B21">
        <v>377999</v>
      </c>
      <c r="C21">
        <v>17897570</v>
      </c>
      <c r="D21">
        <v>2.1100000000000001E-2</v>
      </c>
      <c r="E21" t="s">
        <v>5</v>
      </c>
      <c r="F21">
        <v>0</v>
      </c>
    </row>
    <row r="22" spans="1:6" x14ac:dyDescent="0.2">
      <c r="A22" t="s">
        <v>27</v>
      </c>
      <c r="B22">
        <v>714764</v>
      </c>
      <c r="C22">
        <v>17190766</v>
      </c>
      <c r="D22">
        <v>4.1599999999999998E-2</v>
      </c>
      <c r="E22" t="s">
        <v>4</v>
      </c>
      <c r="F22">
        <f t="shared" ref="F22:F33" si="1">D22*4</f>
        <v>0.16639999999999999</v>
      </c>
    </row>
    <row r="23" spans="1:6" x14ac:dyDescent="0.2">
      <c r="A23" s="1" t="s">
        <v>47</v>
      </c>
      <c r="B23" s="1">
        <v>249629</v>
      </c>
      <c r="C23" s="1">
        <v>9338847</v>
      </c>
      <c r="D23" s="1">
        <f t="shared" ref="D23:D48" si="2">B23/C23</f>
        <v>2.6730173435757114E-2</v>
      </c>
      <c r="E23" s="1" t="s">
        <v>4</v>
      </c>
      <c r="F23">
        <f t="shared" si="1"/>
        <v>0.10692069374302846</v>
      </c>
    </row>
    <row r="24" spans="1:6" x14ac:dyDescent="0.2">
      <c r="A24" s="1" t="s">
        <v>38</v>
      </c>
      <c r="B24" s="1">
        <v>264173</v>
      </c>
      <c r="C24" s="1">
        <v>6043619</v>
      </c>
      <c r="D24" s="1">
        <f t="shared" si="2"/>
        <v>4.3711061203560317E-2</v>
      </c>
      <c r="E24" s="1" t="s">
        <v>4</v>
      </c>
      <c r="F24">
        <f t="shared" si="1"/>
        <v>0.17484424481424127</v>
      </c>
    </row>
    <row r="25" spans="1:6" x14ac:dyDescent="0.2">
      <c r="A25" s="1" t="s">
        <v>34</v>
      </c>
      <c r="B25" s="1">
        <v>353748</v>
      </c>
      <c r="C25" s="1">
        <v>9368236</v>
      </c>
      <c r="D25" s="1">
        <f t="shared" si="2"/>
        <v>3.7760363850782581E-2</v>
      </c>
      <c r="E25" s="1" t="s">
        <v>4</v>
      </c>
      <c r="F25">
        <f t="shared" si="1"/>
        <v>0.15104145540313033</v>
      </c>
    </row>
    <row r="26" spans="1:6" x14ac:dyDescent="0.2">
      <c r="A26" s="1" t="s">
        <v>45</v>
      </c>
      <c r="B26" s="1">
        <v>981175</v>
      </c>
      <c r="C26" s="1">
        <v>7996360</v>
      </c>
      <c r="D26" s="1">
        <f t="shared" si="2"/>
        <v>0.12270270473065245</v>
      </c>
      <c r="E26" s="1" t="s">
        <v>4</v>
      </c>
      <c r="F26">
        <f t="shared" si="1"/>
        <v>0.4908108189226098</v>
      </c>
    </row>
    <row r="27" spans="1:6" x14ac:dyDescent="0.2">
      <c r="A27" s="1" t="s">
        <v>50</v>
      </c>
      <c r="B27" s="1">
        <v>254411</v>
      </c>
      <c r="C27" s="1">
        <v>8096957</v>
      </c>
      <c r="D27" s="1">
        <f t="shared" si="2"/>
        <v>3.1420569480608576E-2</v>
      </c>
      <c r="E27" s="1" t="s">
        <v>4</v>
      </c>
      <c r="F27">
        <f t="shared" si="1"/>
        <v>0.1256822779224343</v>
      </c>
    </row>
    <row r="28" spans="1:6" x14ac:dyDescent="0.2">
      <c r="A28" s="1" t="s">
        <v>54</v>
      </c>
      <c r="B28" s="1">
        <v>648757</v>
      </c>
      <c r="C28" s="1">
        <v>14280646</v>
      </c>
      <c r="D28" s="1">
        <f t="shared" si="2"/>
        <v>4.5429107338701626E-2</v>
      </c>
      <c r="E28" s="1" t="s">
        <v>4</v>
      </c>
      <c r="F28">
        <f t="shared" si="1"/>
        <v>0.1817164293548065</v>
      </c>
    </row>
    <row r="29" spans="1:6" x14ac:dyDescent="0.2">
      <c r="A29" s="1" t="s">
        <v>51</v>
      </c>
      <c r="B29" s="1">
        <v>875346</v>
      </c>
      <c r="C29" s="1">
        <v>12368671</v>
      </c>
      <c r="D29" s="1">
        <f t="shared" si="2"/>
        <v>7.077122513809285E-2</v>
      </c>
      <c r="E29" s="1" t="s">
        <v>4</v>
      </c>
      <c r="F29">
        <f t="shared" si="1"/>
        <v>0.2830849005523714</v>
      </c>
    </row>
    <row r="30" spans="1:6" x14ac:dyDescent="0.2">
      <c r="A30" s="1" t="s">
        <v>48</v>
      </c>
      <c r="B30" s="1">
        <v>637152</v>
      </c>
      <c r="C30" s="1">
        <v>14744527</v>
      </c>
      <c r="D30" s="1">
        <f t="shared" si="2"/>
        <v>4.3212779901315244E-2</v>
      </c>
      <c r="E30" s="1" t="s">
        <v>4</v>
      </c>
      <c r="F30">
        <f t="shared" si="1"/>
        <v>0.17285111960526098</v>
      </c>
    </row>
    <row r="31" spans="1:6" x14ac:dyDescent="0.2">
      <c r="A31" s="1" t="s">
        <v>43</v>
      </c>
      <c r="B31" s="1">
        <v>477152</v>
      </c>
      <c r="C31" s="1">
        <v>11097142</v>
      </c>
      <c r="D31" s="1">
        <f t="shared" si="2"/>
        <v>4.2997737615685191E-2</v>
      </c>
      <c r="E31" s="1" t="s">
        <v>4</v>
      </c>
      <c r="F31">
        <f t="shared" si="1"/>
        <v>0.17199095046274077</v>
      </c>
    </row>
    <row r="32" spans="1:6" x14ac:dyDescent="0.2">
      <c r="A32" s="1" t="s">
        <v>53</v>
      </c>
      <c r="B32" s="1">
        <v>149841</v>
      </c>
      <c r="C32" s="1">
        <v>8443601</v>
      </c>
      <c r="D32" s="1">
        <f t="shared" si="2"/>
        <v>1.7746101456002007E-2</v>
      </c>
      <c r="E32" s="1" t="s">
        <v>4</v>
      </c>
      <c r="F32">
        <f t="shared" si="1"/>
        <v>7.0984405824008029E-2</v>
      </c>
    </row>
    <row r="33" spans="1:6" x14ac:dyDescent="0.2">
      <c r="A33" s="1" t="s">
        <v>35</v>
      </c>
      <c r="B33" s="1">
        <v>174172</v>
      </c>
      <c r="C33" s="1">
        <v>7531748</v>
      </c>
      <c r="D33" s="1">
        <f t="shared" si="2"/>
        <v>2.3125043482601915E-2</v>
      </c>
      <c r="E33" s="1" t="s">
        <v>4</v>
      </c>
      <c r="F33">
        <f t="shared" si="1"/>
        <v>9.2500173930407659E-2</v>
      </c>
    </row>
    <row r="34" spans="1:6" x14ac:dyDescent="0.2">
      <c r="A34" s="5" t="s">
        <v>57</v>
      </c>
      <c r="B34" s="1">
        <v>0</v>
      </c>
      <c r="C34" s="1">
        <v>8098831</v>
      </c>
      <c r="D34" s="1">
        <f t="shared" si="2"/>
        <v>0</v>
      </c>
      <c r="E34" s="1" t="s">
        <v>5</v>
      </c>
      <c r="F34" s="1">
        <f>2.2*D34*4</f>
        <v>0</v>
      </c>
    </row>
    <row r="35" spans="1:6" x14ac:dyDescent="0.2">
      <c r="A35" s="4" t="s">
        <v>56</v>
      </c>
      <c r="B35" s="1">
        <v>1293052</v>
      </c>
      <c r="C35" s="1">
        <v>9670520</v>
      </c>
      <c r="D35" s="1">
        <f t="shared" si="2"/>
        <v>0.13371070014849254</v>
      </c>
      <c r="E35" s="1" t="s">
        <v>4</v>
      </c>
      <c r="F35">
        <f t="shared" ref="F35:F48" si="3">D35*4</f>
        <v>0.53484280059397016</v>
      </c>
    </row>
    <row r="36" spans="1:6" x14ac:dyDescent="0.2">
      <c r="A36" s="1" t="s">
        <v>52</v>
      </c>
      <c r="B36" s="1">
        <v>602760</v>
      </c>
      <c r="C36" s="1">
        <v>11648146</v>
      </c>
      <c r="D36" s="1">
        <f t="shared" si="2"/>
        <v>5.174729094226669E-2</v>
      </c>
      <c r="E36" s="1" t="s">
        <v>4</v>
      </c>
      <c r="F36">
        <f t="shared" si="3"/>
        <v>0.20698916376906676</v>
      </c>
    </row>
    <row r="37" spans="1:6" x14ac:dyDescent="0.2">
      <c r="A37" s="1" t="s">
        <v>44</v>
      </c>
      <c r="B37" s="1">
        <v>1918806</v>
      </c>
      <c r="C37" s="1">
        <v>8322780</v>
      </c>
      <c r="D37" s="1">
        <f t="shared" si="2"/>
        <v>0.23054868685703575</v>
      </c>
      <c r="E37" s="1" t="s">
        <v>4</v>
      </c>
      <c r="F37">
        <f t="shared" si="3"/>
        <v>0.922194747428143</v>
      </c>
    </row>
    <row r="38" spans="1:6" x14ac:dyDescent="0.2">
      <c r="A38" s="1" t="s">
        <v>40</v>
      </c>
      <c r="B38" s="1">
        <v>2526669</v>
      </c>
      <c r="C38" s="1">
        <v>9737405</v>
      </c>
      <c r="D38" s="1">
        <f t="shared" si="2"/>
        <v>0.25948073434349295</v>
      </c>
      <c r="E38" s="1" t="s">
        <v>4</v>
      </c>
      <c r="F38">
        <f t="shared" si="3"/>
        <v>1.0379229373739718</v>
      </c>
    </row>
    <row r="39" spans="1:6" x14ac:dyDescent="0.2">
      <c r="A39" s="1" t="s">
        <v>36</v>
      </c>
      <c r="B39" s="1">
        <v>749924</v>
      </c>
      <c r="C39" s="1">
        <v>6343409</v>
      </c>
      <c r="D39" s="1">
        <f t="shared" si="2"/>
        <v>0.11822097550386551</v>
      </c>
      <c r="E39" s="1" t="s">
        <v>4</v>
      </c>
      <c r="F39">
        <f t="shared" si="3"/>
        <v>0.47288390201546204</v>
      </c>
    </row>
    <row r="40" spans="1:6" x14ac:dyDescent="0.2">
      <c r="A40" s="4" t="s">
        <v>55</v>
      </c>
      <c r="B40" s="1">
        <v>477156</v>
      </c>
      <c r="C40" s="1">
        <v>8078387</v>
      </c>
      <c r="D40" s="1">
        <f t="shared" si="2"/>
        <v>5.9065751616009486E-2</v>
      </c>
      <c r="E40" s="1" t="s">
        <v>4</v>
      </c>
      <c r="F40">
        <f t="shared" si="3"/>
        <v>0.23626300646403794</v>
      </c>
    </row>
    <row r="41" spans="1:6" x14ac:dyDescent="0.2">
      <c r="A41" s="1" t="s">
        <v>39</v>
      </c>
      <c r="B41" s="1">
        <v>1404158</v>
      </c>
      <c r="C41" s="1">
        <v>6418044</v>
      </c>
      <c r="D41" s="1">
        <f t="shared" si="2"/>
        <v>0.21878285658371927</v>
      </c>
      <c r="E41" s="1" t="s">
        <v>4</v>
      </c>
      <c r="F41">
        <f t="shared" si="3"/>
        <v>0.87513142633487706</v>
      </c>
    </row>
    <row r="42" spans="1:6" x14ac:dyDescent="0.2">
      <c r="A42" s="1" t="s">
        <v>33</v>
      </c>
      <c r="B42" s="1">
        <v>846376</v>
      </c>
      <c r="C42" s="1">
        <v>9430438</v>
      </c>
      <c r="D42" s="1">
        <f t="shared" si="2"/>
        <v>8.9749383856826168E-2</v>
      </c>
      <c r="E42" s="1" t="s">
        <v>4</v>
      </c>
      <c r="F42">
        <f t="shared" si="3"/>
        <v>0.35899753542730467</v>
      </c>
    </row>
    <row r="43" spans="1:6" x14ac:dyDescent="0.2">
      <c r="A43" s="1" t="s">
        <v>42</v>
      </c>
      <c r="B43" s="1">
        <v>548924</v>
      </c>
      <c r="C43" s="1">
        <v>7812129</v>
      </c>
      <c r="D43" s="1">
        <f t="shared" si="2"/>
        <v>7.0265608773229418E-2</v>
      </c>
      <c r="E43" s="1" t="s">
        <v>4</v>
      </c>
      <c r="F43">
        <f t="shared" si="3"/>
        <v>0.28106243509291767</v>
      </c>
    </row>
    <row r="44" spans="1:6" x14ac:dyDescent="0.2">
      <c r="A44" s="1" t="s">
        <v>49</v>
      </c>
      <c r="B44" s="1">
        <v>230728</v>
      </c>
      <c r="C44" s="1">
        <v>8102522</v>
      </c>
      <c r="D44" s="1">
        <f t="shared" si="2"/>
        <v>2.8476072018070422E-2</v>
      </c>
      <c r="E44" s="1" t="s">
        <v>4</v>
      </c>
      <c r="F44">
        <f t="shared" si="3"/>
        <v>0.11390428807228169</v>
      </c>
    </row>
    <row r="45" spans="1:6" x14ac:dyDescent="0.2">
      <c r="A45" s="1" t="s">
        <v>46</v>
      </c>
      <c r="B45" s="1">
        <v>535281</v>
      </c>
      <c r="C45" s="1">
        <v>5298545</v>
      </c>
      <c r="D45" s="1">
        <f t="shared" si="2"/>
        <v>0.10102414908243679</v>
      </c>
      <c r="E45" s="1" t="s">
        <v>4</v>
      </c>
      <c r="F45">
        <f t="shared" si="3"/>
        <v>0.40409659632974715</v>
      </c>
    </row>
    <row r="46" spans="1:6" x14ac:dyDescent="0.2">
      <c r="A46" s="1" t="s">
        <v>41</v>
      </c>
      <c r="B46" s="1">
        <v>223364</v>
      </c>
      <c r="C46" s="1">
        <v>7792031</v>
      </c>
      <c r="D46" s="1">
        <f t="shared" si="2"/>
        <v>2.8665697043556423E-2</v>
      </c>
      <c r="E46" s="1" t="s">
        <v>4</v>
      </c>
      <c r="F46">
        <f t="shared" si="3"/>
        <v>0.11466278817422569</v>
      </c>
    </row>
    <row r="47" spans="1:6" x14ac:dyDescent="0.2">
      <c r="A47" s="1" t="s">
        <v>37</v>
      </c>
      <c r="B47" s="1">
        <v>302373</v>
      </c>
      <c r="C47" s="1">
        <v>6210650</v>
      </c>
      <c r="D47" s="1">
        <f t="shared" si="2"/>
        <v>4.8686208367884197E-2</v>
      </c>
      <c r="E47" s="1" t="s">
        <v>4</v>
      </c>
      <c r="F47">
        <f t="shared" si="3"/>
        <v>0.19474483347153679</v>
      </c>
    </row>
    <row r="48" spans="1:6" x14ac:dyDescent="0.2">
      <c r="A48" s="1" t="s">
        <v>32</v>
      </c>
      <c r="B48" s="1">
        <v>1318495</v>
      </c>
      <c r="C48" s="1">
        <v>7104921</v>
      </c>
      <c r="D48" s="1">
        <f t="shared" si="2"/>
        <v>0.18557489942534194</v>
      </c>
      <c r="E48" s="1" t="s">
        <v>4</v>
      </c>
      <c r="F48">
        <f t="shared" si="3"/>
        <v>0.74229959770136777</v>
      </c>
    </row>
    <row r="51" spans="3:3" x14ac:dyDescent="0.2">
      <c r="C51" s="2"/>
    </row>
    <row r="52" spans="3:3" x14ac:dyDescent="0.2">
      <c r="C52" s="2"/>
    </row>
    <row r="53" spans="3:3" x14ac:dyDescent="0.2">
      <c r="C53" s="3"/>
    </row>
  </sheetData>
  <sortState xmlns:xlrd2="http://schemas.microsoft.com/office/spreadsheetml/2017/richdata2" ref="A3:F48">
    <sortCondition ref="A3:A48"/>
  </sortState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0369-B3B9-194F-AC39-1C5ED06FAF2F}">
  <dimension ref="A1:F48"/>
  <sheetViews>
    <sheetView workbookViewId="0"/>
  </sheetViews>
  <sheetFormatPr baseColWidth="10" defaultColWidth="8.83203125" defaultRowHeight="15" x14ac:dyDescent="0.2"/>
  <cols>
    <col min="1" max="1" width="31.1640625" bestFit="1" customWidth="1"/>
    <col min="2" max="2" width="11.33203125" customWidth="1"/>
    <col min="3" max="3" width="11.6640625" customWidth="1"/>
    <col min="4" max="4" width="15.1640625" customWidth="1"/>
    <col min="5" max="5" width="10.33203125" customWidth="1"/>
    <col min="6" max="6" width="15.33203125" bestFit="1" customWidth="1"/>
    <col min="7" max="7" width="11" bestFit="1" customWidth="1"/>
  </cols>
  <sheetData>
    <row r="1" spans="1:6" ht="21" x14ac:dyDescent="0.25">
      <c r="A1" s="6" t="s">
        <v>29</v>
      </c>
    </row>
    <row r="2" spans="1:6" x14ac:dyDescent="0.2">
      <c r="A2" t="s">
        <v>7</v>
      </c>
      <c r="B2" t="s">
        <v>1</v>
      </c>
      <c r="C2" t="s">
        <v>2</v>
      </c>
      <c r="D2" t="s">
        <v>0</v>
      </c>
      <c r="E2" t="s">
        <v>3</v>
      </c>
      <c r="F2" t="s">
        <v>6</v>
      </c>
    </row>
    <row r="3" spans="1:6" x14ac:dyDescent="0.2">
      <c r="A3" t="s">
        <v>22</v>
      </c>
      <c r="B3">
        <v>175219</v>
      </c>
      <c r="C3">
        <v>77066208</v>
      </c>
      <c r="D3">
        <v>2.3E-3</v>
      </c>
      <c r="E3" t="s">
        <v>5</v>
      </c>
      <c r="F3" s="1">
        <v>0</v>
      </c>
    </row>
    <row r="4" spans="1:6" x14ac:dyDescent="0.2">
      <c r="A4" t="s">
        <v>8</v>
      </c>
      <c r="B4">
        <v>1934014</v>
      </c>
      <c r="C4">
        <v>46202584</v>
      </c>
      <c r="D4">
        <v>4.19E-2</v>
      </c>
      <c r="E4" t="s">
        <v>4</v>
      </c>
      <c r="F4" s="1">
        <f>D4*4</f>
        <v>0.1676</v>
      </c>
    </row>
    <row r="5" spans="1:6" x14ac:dyDescent="0.2">
      <c r="A5" t="s">
        <v>9</v>
      </c>
      <c r="B5">
        <v>2449073</v>
      </c>
      <c r="C5">
        <v>33668268</v>
      </c>
      <c r="D5">
        <v>7.2700000000000001E-2</v>
      </c>
      <c r="E5" t="s">
        <v>4</v>
      </c>
      <c r="F5" s="1">
        <f>D5*4</f>
        <v>0.2908</v>
      </c>
    </row>
    <row r="6" spans="1:6" x14ac:dyDescent="0.2">
      <c r="A6" t="s">
        <v>23</v>
      </c>
      <c r="B6">
        <v>2629745</v>
      </c>
      <c r="C6">
        <v>22105888</v>
      </c>
      <c r="D6">
        <v>0.11899999999999999</v>
      </c>
      <c r="E6" t="s">
        <v>4</v>
      </c>
      <c r="F6" s="1">
        <f>D6*4</f>
        <v>0.47599999999999998</v>
      </c>
    </row>
    <row r="7" spans="1:6" x14ac:dyDescent="0.2">
      <c r="A7" t="s">
        <v>14</v>
      </c>
      <c r="B7">
        <v>41650</v>
      </c>
      <c r="C7">
        <v>31495838</v>
      </c>
      <c r="D7">
        <v>1.2999999999999999E-3</v>
      </c>
      <c r="E7" t="s">
        <v>5</v>
      </c>
      <c r="F7">
        <v>0</v>
      </c>
    </row>
    <row r="8" spans="1:6" x14ac:dyDescent="0.2">
      <c r="A8" t="s">
        <v>10</v>
      </c>
      <c r="B8">
        <v>2957584</v>
      </c>
      <c r="C8">
        <v>12843502</v>
      </c>
      <c r="D8">
        <v>0.2303</v>
      </c>
      <c r="E8" t="s">
        <v>4</v>
      </c>
      <c r="F8" s="1">
        <f>D8*4</f>
        <v>0.92120000000000002</v>
      </c>
    </row>
    <row r="9" spans="1:6" x14ac:dyDescent="0.2">
      <c r="A9" t="s">
        <v>15</v>
      </c>
      <c r="B9">
        <v>28336484</v>
      </c>
      <c r="C9">
        <v>36228028</v>
      </c>
      <c r="D9">
        <v>0.78220000000000001</v>
      </c>
      <c r="E9" t="s">
        <v>4</v>
      </c>
      <c r="F9" s="1">
        <f>D9*4</f>
        <v>3.1288</v>
      </c>
    </row>
    <row r="10" spans="1:6" x14ac:dyDescent="0.2">
      <c r="A10" t="s">
        <v>24</v>
      </c>
      <c r="B10">
        <v>4974916</v>
      </c>
      <c r="C10">
        <v>26381930</v>
      </c>
      <c r="D10">
        <v>0.18859999999999999</v>
      </c>
      <c r="E10" t="s">
        <v>4</v>
      </c>
      <c r="F10" s="1">
        <f>D10*4</f>
        <v>0.75439999999999996</v>
      </c>
    </row>
    <row r="11" spans="1:6" x14ac:dyDescent="0.2">
      <c r="A11" t="s">
        <v>11</v>
      </c>
      <c r="B11">
        <v>479848</v>
      </c>
      <c r="C11">
        <v>5902763</v>
      </c>
      <c r="D11">
        <v>8.1299999999999997E-2</v>
      </c>
      <c r="E11" t="s">
        <v>5</v>
      </c>
      <c r="F11">
        <v>0</v>
      </c>
    </row>
    <row r="12" spans="1:6" x14ac:dyDescent="0.2">
      <c r="A12" t="s">
        <v>25</v>
      </c>
      <c r="B12">
        <v>1058733</v>
      </c>
      <c r="C12">
        <v>11644738</v>
      </c>
      <c r="D12">
        <v>9.0899999999999995E-2</v>
      </c>
      <c r="E12" t="s">
        <v>4</v>
      </c>
      <c r="F12" s="1">
        <f>D12*4</f>
        <v>0.36359999999999998</v>
      </c>
    </row>
    <row r="13" spans="1:6" x14ac:dyDescent="0.2">
      <c r="A13" t="s">
        <v>12</v>
      </c>
      <c r="B13">
        <v>475094</v>
      </c>
      <c r="C13">
        <v>14998518</v>
      </c>
      <c r="D13">
        <v>3.1699999999999999E-2</v>
      </c>
      <c r="E13" t="s">
        <v>4</v>
      </c>
      <c r="F13" s="1">
        <f>D13*4</f>
        <v>0.1268</v>
      </c>
    </row>
    <row r="14" spans="1:6" x14ac:dyDescent="0.2">
      <c r="A14" t="s">
        <v>13</v>
      </c>
      <c r="B14">
        <v>1224136</v>
      </c>
      <c r="C14">
        <v>6624746</v>
      </c>
      <c r="D14">
        <v>0.18479999999999999</v>
      </c>
      <c r="E14" t="s">
        <v>4</v>
      </c>
      <c r="F14" s="1">
        <f>D14*4</f>
        <v>0.73919999999999997</v>
      </c>
    </row>
    <row r="15" spans="1:6" x14ac:dyDescent="0.2">
      <c r="A15" t="s">
        <v>16</v>
      </c>
      <c r="B15">
        <v>409832</v>
      </c>
      <c r="C15">
        <v>12344706</v>
      </c>
      <c r="D15">
        <v>3.32E-2</v>
      </c>
      <c r="E15" t="s">
        <v>4</v>
      </c>
      <c r="F15" s="1">
        <f>D15*4</f>
        <v>0.1328</v>
      </c>
    </row>
    <row r="16" spans="1:6" x14ac:dyDescent="0.2">
      <c r="A16" t="s">
        <v>17</v>
      </c>
      <c r="B16">
        <v>65165</v>
      </c>
      <c r="C16">
        <v>26213644</v>
      </c>
      <c r="D16">
        <v>2.5000000000000001E-3</v>
      </c>
      <c r="E16" t="s">
        <v>5</v>
      </c>
      <c r="F16">
        <v>0</v>
      </c>
    </row>
    <row r="17" spans="1:6" x14ac:dyDescent="0.2">
      <c r="A17" t="s">
        <v>26</v>
      </c>
      <c r="B17">
        <v>594023</v>
      </c>
      <c r="C17">
        <v>16599250</v>
      </c>
      <c r="D17">
        <v>3.5799999999999998E-2</v>
      </c>
      <c r="E17" t="s">
        <v>5</v>
      </c>
      <c r="F17">
        <v>0</v>
      </c>
    </row>
    <row r="18" spans="1:6" x14ac:dyDescent="0.2">
      <c r="A18" t="s">
        <v>18</v>
      </c>
      <c r="B18">
        <v>240267</v>
      </c>
      <c r="C18">
        <v>17688326</v>
      </c>
      <c r="D18">
        <v>1.3599999999999999E-2</v>
      </c>
      <c r="E18" t="s">
        <v>5</v>
      </c>
      <c r="F18">
        <v>0</v>
      </c>
    </row>
    <row r="19" spans="1:6" x14ac:dyDescent="0.2">
      <c r="A19" t="s">
        <v>19</v>
      </c>
      <c r="B19">
        <v>231198</v>
      </c>
      <c r="C19">
        <v>31561754</v>
      </c>
      <c r="D19">
        <v>7.3000000000000001E-3</v>
      </c>
      <c r="E19" t="s">
        <v>5</v>
      </c>
      <c r="F19">
        <v>0</v>
      </c>
    </row>
    <row r="20" spans="1:6" x14ac:dyDescent="0.2">
      <c r="A20" t="s">
        <v>20</v>
      </c>
      <c r="B20">
        <v>477283</v>
      </c>
      <c r="C20">
        <v>19639636</v>
      </c>
      <c r="D20">
        <v>2.4299999999999999E-2</v>
      </c>
      <c r="E20" t="s">
        <v>4</v>
      </c>
      <c r="F20" s="1">
        <f>D20*4</f>
        <v>9.7199999999999995E-2</v>
      </c>
    </row>
    <row r="21" spans="1:6" x14ac:dyDescent="0.2">
      <c r="A21" t="s">
        <v>21</v>
      </c>
      <c r="B21">
        <v>160665</v>
      </c>
      <c r="C21">
        <v>21997492</v>
      </c>
      <c r="D21">
        <v>7.3000000000000001E-3</v>
      </c>
      <c r="E21" t="s">
        <v>5</v>
      </c>
      <c r="F21">
        <v>0</v>
      </c>
    </row>
    <row r="22" spans="1:6" x14ac:dyDescent="0.2">
      <c r="A22" t="s">
        <v>27</v>
      </c>
      <c r="B22">
        <v>633187</v>
      </c>
      <c r="C22">
        <v>12279453</v>
      </c>
      <c r="D22">
        <v>5.16E-2</v>
      </c>
      <c r="E22" t="s">
        <v>4</v>
      </c>
      <c r="F22" s="1">
        <f>D22*4</f>
        <v>0.2064</v>
      </c>
    </row>
    <row r="23" spans="1:6" x14ac:dyDescent="0.2">
      <c r="A23" s="1" t="s">
        <v>47</v>
      </c>
      <c r="B23" s="1">
        <v>1487411</v>
      </c>
      <c r="C23" s="1">
        <v>11744092</v>
      </c>
      <c r="D23" s="1">
        <f t="shared" ref="D23:D48" si="0">B23/C23</f>
        <v>0.12665185184176009</v>
      </c>
      <c r="E23" s="1" t="s">
        <v>4</v>
      </c>
      <c r="F23" s="1">
        <f>D23*4</f>
        <v>0.50660740736704035</v>
      </c>
    </row>
    <row r="24" spans="1:6" x14ac:dyDescent="0.2">
      <c r="A24" s="1" t="s">
        <v>38</v>
      </c>
      <c r="B24" s="1">
        <v>433835</v>
      </c>
      <c r="C24" s="1">
        <v>6724826</v>
      </c>
      <c r="D24" s="1">
        <f t="shared" si="0"/>
        <v>6.4512449838850849E-2</v>
      </c>
      <c r="E24" s="1" t="s">
        <v>4</v>
      </c>
      <c r="F24" s="1">
        <f>D24*4</f>
        <v>0.2580497993554034</v>
      </c>
    </row>
    <row r="25" spans="1:6" x14ac:dyDescent="0.2">
      <c r="A25" s="1" t="s">
        <v>34</v>
      </c>
      <c r="B25" s="1">
        <v>5010187</v>
      </c>
      <c r="C25" s="1">
        <v>5993412</v>
      </c>
      <c r="D25" s="1">
        <f t="shared" si="0"/>
        <v>0.83594903871117154</v>
      </c>
      <c r="E25" s="1" t="s">
        <v>4</v>
      </c>
      <c r="F25" s="1">
        <f>D25*4</f>
        <v>3.3437961548446862</v>
      </c>
    </row>
    <row r="26" spans="1:6" x14ac:dyDescent="0.2">
      <c r="A26" s="1" t="s">
        <v>45</v>
      </c>
      <c r="B26" s="1">
        <v>0</v>
      </c>
      <c r="C26" s="1">
        <v>5207578</v>
      </c>
      <c r="D26" s="1">
        <f t="shared" si="0"/>
        <v>0</v>
      </c>
      <c r="E26" s="1" t="s">
        <v>5</v>
      </c>
      <c r="F26" s="1">
        <f>2.2*D26*4</f>
        <v>0</v>
      </c>
    </row>
    <row r="27" spans="1:6" x14ac:dyDescent="0.2">
      <c r="A27" s="1" t="s">
        <v>50</v>
      </c>
      <c r="B27" s="1">
        <v>636150</v>
      </c>
      <c r="C27" s="1">
        <v>12911502</v>
      </c>
      <c r="D27" s="1">
        <f t="shared" si="0"/>
        <v>4.9270022960922748E-2</v>
      </c>
      <c r="E27" s="1" t="s">
        <v>4</v>
      </c>
      <c r="F27" s="1">
        <f>D27*4</f>
        <v>0.19708009184369099</v>
      </c>
    </row>
    <row r="28" spans="1:6" x14ac:dyDescent="0.2">
      <c r="A28" s="1" t="s">
        <v>54</v>
      </c>
      <c r="B28" s="1">
        <v>0</v>
      </c>
      <c r="C28" s="1">
        <v>15323072</v>
      </c>
      <c r="D28" s="1">
        <f t="shared" si="0"/>
        <v>0</v>
      </c>
      <c r="E28" s="1" t="s">
        <v>5</v>
      </c>
      <c r="F28" s="1">
        <f>2.2*D28*4</f>
        <v>0</v>
      </c>
    </row>
    <row r="29" spans="1:6" x14ac:dyDescent="0.2">
      <c r="A29" s="1" t="s">
        <v>51</v>
      </c>
      <c r="B29" s="1">
        <v>2022874</v>
      </c>
      <c r="C29" s="1">
        <v>15333914</v>
      </c>
      <c r="D29" s="1">
        <f t="shared" si="0"/>
        <v>0.13192156940491515</v>
      </c>
      <c r="E29" s="1" t="s">
        <v>4</v>
      </c>
      <c r="F29" s="1">
        <f>D29*4</f>
        <v>0.52768627761966058</v>
      </c>
    </row>
    <row r="30" spans="1:6" x14ac:dyDescent="0.2">
      <c r="A30" s="1" t="s">
        <v>48</v>
      </c>
      <c r="B30" s="1">
        <v>0</v>
      </c>
      <c r="C30" s="1">
        <v>18180292</v>
      </c>
      <c r="D30" s="1">
        <f t="shared" si="0"/>
        <v>0</v>
      </c>
      <c r="E30" s="1" t="s">
        <v>5</v>
      </c>
      <c r="F30" s="1">
        <f>2.2*D30*4</f>
        <v>0</v>
      </c>
    </row>
    <row r="31" spans="1:6" x14ac:dyDescent="0.2">
      <c r="A31" s="1" t="s">
        <v>43</v>
      </c>
      <c r="B31" s="1">
        <v>0</v>
      </c>
      <c r="C31" s="1">
        <v>9377378</v>
      </c>
      <c r="D31" s="1">
        <f t="shared" si="0"/>
        <v>0</v>
      </c>
      <c r="E31" s="1" t="s">
        <v>5</v>
      </c>
      <c r="F31" s="1">
        <f>2.2*D31*4</f>
        <v>0</v>
      </c>
    </row>
    <row r="32" spans="1:6" x14ac:dyDescent="0.2">
      <c r="A32" s="1" t="s">
        <v>53</v>
      </c>
      <c r="B32" s="1">
        <v>771832</v>
      </c>
      <c r="C32" s="1">
        <v>10119221</v>
      </c>
      <c r="D32" s="1">
        <f t="shared" si="0"/>
        <v>7.6273855467728191E-2</v>
      </c>
      <c r="E32" s="1" t="s">
        <v>4</v>
      </c>
      <c r="F32" s="1">
        <f>D32*4</f>
        <v>0.30509542187091276</v>
      </c>
    </row>
    <row r="33" spans="1:6" x14ac:dyDescent="0.2">
      <c r="A33" s="1" t="s">
        <v>35</v>
      </c>
      <c r="B33" s="1">
        <v>0</v>
      </c>
      <c r="C33" s="1">
        <v>6998514</v>
      </c>
      <c r="D33" s="1">
        <f t="shared" si="0"/>
        <v>0</v>
      </c>
      <c r="E33" s="1" t="s">
        <v>5</v>
      </c>
      <c r="F33" s="1">
        <f>2.2*D33*4</f>
        <v>0</v>
      </c>
    </row>
    <row r="34" spans="1:6" x14ac:dyDescent="0.2">
      <c r="A34" s="5" t="s">
        <v>57</v>
      </c>
      <c r="B34" s="1">
        <v>0</v>
      </c>
      <c r="C34" s="1">
        <v>11446278</v>
      </c>
      <c r="D34" s="1">
        <f t="shared" si="0"/>
        <v>0</v>
      </c>
      <c r="E34" s="1" t="s">
        <v>5</v>
      </c>
      <c r="F34" s="1">
        <f>2.2*D34*4</f>
        <v>0</v>
      </c>
    </row>
    <row r="35" spans="1:6" x14ac:dyDescent="0.2">
      <c r="A35" s="4" t="s">
        <v>56</v>
      </c>
      <c r="B35" s="1">
        <v>1460410</v>
      </c>
      <c r="C35" s="1">
        <v>9826378</v>
      </c>
      <c r="D35" s="1">
        <f t="shared" si="0"/>
        <v>0.14862139437338967</v>
      </c>
      <c r="E35" s="1" t="s">
        <v>4</v>
      </c>
      <c r="F35" s="1">
        <f>D35*4</f>
        <v>0.59448557749355868</v>
      </c>
    </row>
    <row r="36" spans="1:6" x14ac:dyDescent="0.2">
      <c r="A36" s="1" t="s">
        <v>52</v>
      </c>
      <c r="B36" s="1">
        <v>422215</v>
      </c>
      <c r="C36" s="1">
        <v>14643306</v>
      </c>
      <c r="D36" s="1">
        <f t="shared" si="0"/>
        <v>2.8833311275472902E-2</v>
      </c>
      <c r="E36" s="1" t="s">
        <v>4</v>
      </c>
      <c r="F36" s="1">
        <f>D36*4</f>
        <v>0.11533324510189161</v>
      </c>
    </row>
    <row r="37" spans="1:6" x14ac:dyDescent="0.2">
      <c r="A37" s="1" t="s">
        <v>44</v>
      </c>
      <c r="B37" s="1">
        <v>0</v>
      </c>
      <c r="C37" s="1">
        <v>12535010</v>
      </c>
      <c r="D37" s="1">
        <f t="shared" si="0"/>
        <v>0</v>
      </c>
      <c r="E37" s="1" t="s">
        <v>5</v>
      </c>
      <c r="F37" s="1">
        <f>2.2*D37*4</f>
        <v>0</v>
      </c>
    </row>
    <row r="38" spans="1:6" x14ac:dyDescent="0.2">
      <c r="A38" s="1" t="s">
        <v>40</v>
      </c>
      <c r="B38" s="1">
        <v>2985804</v>
      </c>
      <c r="C38" s="1">
        <v>10097262</v>
      </c>
      <c r="D38" s="1">
        <f t="shared" si="0"/>
        <v>0.29570432063662405</v>
      </c>
      <c r="E38" s="1" t="s">
        <v>4</v>
      </c>
      <c r="F38" s="1">
        <f>D38*4</f>
        <v>1.1828172825464962</v>
      </c>
    </row>
    <row r="39" spans="1:6" x14ac:dyDescent="0.2">
      <c r="A39" s="1" t="s">
        <v>36</v>
      </c>
      <c r="B39" s="1">
        <v>0</v>
      </c>
      <c r="C39" s="1">
        <v>7711912</v>
      </c>
      <c r="D39" s="1">
        <f t="shared" si="0"/>
        <v>0</v>
      </c>
      <c r="E39" s="1" t="s">
        <v>5</v>
      </c>
      <c r="F39" s="1">
        <f>2.2*D39*4</f>
        <v>0</v>
      </c>
    </row>
    <row r="40" spans="1:6" x14ac:dyDescent="0.2">
      <c r="A40" s="4" t="s">
        <v>55</v>
      </c>
      <c r="B40" s="1">
        <v>3143260</v>
      </c>
      <c r="C40" s="1">
        <v>6834699</v>
      </c>
      <c r="D40" s="1">
        <f t="shared" si="0"/>
        <v>0.45989735612351035</v>
      </c>
      <c r="E40" s="1" t="s">
        <v>4</v>
      </c>
      <c r="F40" s="1">
        <f>D40*4</f>
        <v>1.8395894244940414</v>
      </c>
    </row>
    <row r="41" spans="1:6" x14ac:dyDescent="0.2">
      <c r="A41" s="1" t="s">
        <v>39</v>
      </c>
      <c r="B41" s="1">
        <v>511968</v>
      </c>
      <c r="C41" s="1">
        <v>9172110</v>
      </c>
      <c r="D41" s="1">
        <f t="shared" si="0"/>
        <v>5.5817908856304603E-2</v>
      </c>
      <c r="E41" s="1" t="s">
        <v>4</v>
      </c>
      <c r="F41" s="1">
        <f>D41*4</f>
        <v>0.22327163542521841</v>
      </c>
    </row>
    <row r="42" spans="1:6" x14ac:dyDescent="0.2">
      <c r="A42" s="1" t="s">
        <v>33</v>
      </c>
      <c r="B42" s="1">
        <v>0</v>
      </c>
      <c r="C42" s="1">
        <v>13540547</v>
      </c>
      <c r="D42" s="1">
        <f t="shared" si="0"/>
        <v>0</v>
      </c>
      <c r="E42" s="1" t="s">
        <v>5</v>
      </c>
      <c r="F42" s="1">
        <f>2.2*D42*4</f>
        <v>0</v>
      </c>
    </row>
    <row r="43" spans="1:6" x14ac:dyDescent="0.2">
      <c r="A43" s="1" t="s">
        <v>42</v>
      </c>
      <c r="B43" s="1">
        <v>0</v>
      </c>
      <c r="C43" s="1">
        <v>8935733</v>
      </c>
      <c r="D43" s="1">
        <f t="shared" si="0"/>
        <v>0</v>
      </c>
      <c r="E43" s="1" t="s">
        <v>5</v>
      </c>
      <c r="F43" s="1">
        <f>2.2*D43*4</f>
        <v>0</v>
      </c>
    </row>
    <row r="44" spans="1:6" x14ac:dyDescent="0.2">
      <c r="A44" s="1" t="s">
        <v>49</v>
      </c>
      <c r="B44" s="1">
        <v>2016324</v>
      </c>
      <c r="C44" s="1">
        <v>10397101</v>
      </c>
      <c r="D44" s="1">
        <f t="shared" si="0"/>
        <v>0.19393136606059708</v>
      </c>
      <c r="E44" s="1" t="s">
        <v>4</v>
      </c>
      <c r="F44" s="1">
        <f>D44*4</f>
        <v>0.77572546424238831</v>
      </c>
    </row>
    <row r="45" spans="1:6" x14ac:dyDescent="0.2">
      <c r="A45" s="1" t="s">
        <v>46</v>
      </c>
      <c r="B45" s="1">
        <v>0</v>
      </c>
      <c r="C45" s="1">
        <v>5159980</v>
      </c>
      <c r="D45" s="1">
        <f t="shared" si="0"/>
        <v>0</v>
      </c>
      <c r="E45" s="1" t="s">
        <v>5</v>
      </c>
      <c r="F45" s="1">
        <f>2.2*D45*4</f>
        <v>0</v>
      </c>
    </row>
    <row r="46" spans="1:6" x14ac:dyDescent="0.2">
      <c r="A46" s="1" t="s">
        <v>41</v>
      </c>
      <c r="B46" s="1">
        <v>0</v>
      </c>
      <c r="C46" s="1">
        <v>8681130</v>
      </c>
      <c r="D46" s="1">
        <f t="shared" si="0"/>
        <v>0</v>
      </c>
      <c r="E46" s="1" t="s">
        <v>5</v>
      </c>
      <c r="F46" s="1">
        <f>2.2*D46*4</f>
        <v>0</v>
      </c>
    </row>
    <row r="47" spans="1:6" x14ac:dyDescent="0.2">
      <c r="A47" s="1" t="s">
        <v>37</v>
      </c>
      <c r="B47" s="1">
        <v>1534595</v>
      </c>
      <c r="C47" s="1">
        <v>6913933</v>
      </c>
      <c r="D47" s="1">
        <f t="shared" si="0"/>
        <v>0.22195688040367184</v>
      </c>
      <c r="E47" s="1" t="s">
        <v>4</v>
      </c>
      <c r="F47" s="1">
        <f>D47*4</f>
        <v>0.88782752161468736</v>
      </c>
    </row>
    <row r="48" spans="1:6" x14ac:dyDescent="0.2">
      <c r="A48" s="1" t="s">
        <v>32</v>
      </c>
      <c r="B48" s="1">
        <v>1515340</v>
      </c>
      <c r="C48" s="1">
        <v>10355604</v>
      </c>
      <c r="D48" s="1">
        <f t="shared" si="0"/>
        <v>0.14633043132974186</v>
      </c>
      <c r="E48" s="1" t="s">
        <v>4</v>
      </c>
      <c r="F48" s="1">
        <f>D48*4</f>
        <v>0.58532172531896742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39E8-5B2F-4157-9617-D9AD3CCD62A2}">
  <dimension ref="A1:F22"/>
  <sheetViews>
    <sheetView workbookViewId="0"/>
  </sheetViews>
  <sheetFormatPr baseColWidth="10" defaultColWidth="8.83203125" defaultRowHeight="15" x14ac:dyDescent="0.2"/>
  <cols>
    <col min="1" max="1" width="29.83203125" bestFit="1" customWidth="1"/>
    <col min="2" max="2" width="11.33203125" customWidth="1"/>
    <col min="3" max="3" width="11.6640625" customWidth="1"/>
    <col min="4" max="4" width="15.1640625" customWidth="1"/>
    <col min="5" max="5" width="10.33203125" customWidth="1"/>
    <col min="6" max="6" width="15.33203125" bestFit="1" customWidth="1"/>
    <col min="7" max="7" width="11" bestFit="1" customWidth="1"/>
  </cols>
  <sheetData>
    <row r="1" spans="1:6" ht="21" x14ac:dyDescent="0.25">
      <c r="A1" s="6" t="s">
        <v>66</v>
      </c>
    </row>
    <row r="2" spans="1:6" x14ac:dyDescent="0.2">
      <c r="A2" t="s">
        <v>7</v>
      </c>
      <c r="B2" t="s">
        <v>1</v>
      </c>
      <c r="C2" t="s">
        <v>2</v>
      </c>
      <c r="D2" t="s">
        <v>0</v>
      </c>
      <c r="E2" t="s">
        <v>3</v>
      </c>
      <c r="F2" t="s">
        <v>6</v>
      </c>
    </row>
    <row r="3" spans="1:6" x14ac:dyDescent="0.2">
      <c r="A3" t="s">
        <v>22</v>
      </c>
      <c r="B3">
        <v>228034</v>
      </c>
      <c r="C3">
        <v>17091662</v>
      </c>
      <c r="D3">
        <v>1.3299999999999999E-2</v>
      </c>
      <c r="E3" t="s">
        <v>4</v>
      </c>
      <c r="F3">
        <f t="shared" ref="F3:F10" si="0">D3*4</f>
        <v>5.3199999999999997E-2</v>
      </c>
    </row>
    <row r="4" spans="1:6" x14ac:dyDescent="0.2">
      <c r="A4" t="s">
        <v>8</v>
      </c>
      <c r="B4">
        <v>511139</v>
      </c>
      <c r="C4">
        <v>31926612</v>
      </c>
      <c r="D4">
        <f>B4/C4</f>
        <v>1.6009810248578834E-2</v>
      </c>
      <c r="E4" t="s">
        <v>4</v>
      </c>
      <c r="F4">
        <f t="shared" si="0"/>
        <v>6.4039240994315336E-2</v>
      </c>
    </row>
    <row r="5" spans="1:6" x14ac:dyDescent="0.2">
      <c r="A5" t="s">
        <v>9</v>
      </c>
      <c r="B5">
        <v>5526539</v>
      </c>
      <c r="C5">
        <v>22532706</v>
      </c>
      <c r="D5">
        <v>0.24529999999999999</v>
      </c>
      <c r="E5" t="s">
        <v>4</v>
      </c>
      <c r="F5">
        <f t="shared" si="0"/>
        <v>0.98119999999999996</v>
      </c>
    </row>
    <row r="6" spans="1:6" x14ac:dyDescent="0.2">
      <c r="A6" t="s">
        <v>23</v>
      </c>
      <c r="B6">
        <v>1380820</v>
      </c>
      <c r="C6">
        <v>8970663</v>
      </c>
      <c r="D6">
        <v>0.15390000000000001</v>
      </c>
      <c r="E6" t="s">
        <v>4</v>
      </c>
      <c r="F6">
        <f t="shared" si="0"/>
        <v>0.61560000000000004</v>
      </c>
    </row>
    <row r="7" spans="1:6" x14ac:dyDescent="0.2">
      <c r="A7" t="s">
        <v>14</v>
      </c>
      <c r="B7">
        <v>73244</v>
      </c>
      <c r="C7">
        <v>6087996</v>
      </c>
      <c r="D7">
        <v>1.2E-2</v>
      </c>
      <c r="E7" t="s">
        <v>4</v>
      </c>
      <c r="F7">
        <f t="shared" si="0"/>
        <v>4.8000000000000001E-2</v>
      </c>
    </row>
    <row r="8" spans="1:6" x14ac:dyDescent="0.2">
      <c r="A8" t="s">
        <v>10</v>
      </c>
      <c r="B8">
        <v>66775</v>
      </c>
      <c r="C8">
        <v>1829753</v>
      </c>
      <c r="D8">
        <v>3.6499999999999998E-2</v>
      </c>
      <c r="E8" t="s">
        <v>4</v>
      </c>
      <c r="F8">
        <f t="shared" si="0"/>
        <v>0.14599999999999999</v>
      </c>
    </row>
    <row r="9" spans="1:6" x14ac:dyDescent="0.2">
      <c r="A9" t="s">
        <v>15</v>
      </c>
      <c r="B9">
        <v>204264</v>
      </c>
      <c r="C9">
        <v>13741437</v>
      </c>
      <c r="D9">
        <v>1.49E-2</v>
      </c>
      <c r="E9" t="s">
        <v>4</v>
      </c>
      <c r="F9">
        <f t="shared" si="0"/>
        <v>5.96E-2</v>
      </c>
    </row>
    <row r="10" spans="1:6" x14ac:dyDescent="0.2">
      <c r="A10" t="s">
        <v>24</v>
      </c>
      <c r="B10">
        <v>2426795</v>
      </c>
      <c r="C10">
        <v>12205353</v>
      </c>
      <c r="D10">
        <v>0.1988</v>
      </c>
      <c r="E10" t="s">
        <v>4</v>
      </c>
      <c r="F10">
        <f t="shared" si="0"/>
        <v>0.79520000000000002</v>
      </c>
    </row>
    <row r="11" spans="1:6" x14ac:dyDescent="0.2">
      <c r="A11" t="s">
        <v>11</v>
      </c>
      <c r="B11">
        <v>51723</v>
      </c>
      <c r="C11">
        <v>1621249</v>
      </c>
      <c r="D11">
        <v>3.1899999999999998E-2</v>
      </c>
      <c r="E11" t="s">
        <v>5</v>
      </c>
      <c r="F11">
        <v>0</v>
      </c>
    </row>
    <row r="12" spans="1:6" x14ac:dyDescent="0.2">
      <c r="A12" t="s">
        <v>25</v>
      </c>
      <c r="B12">
        <v>768164</v>
      </c>
      <c r="C12">
        <v>5777997</v>
      </c>
      <c r="D12">
        <v>0.13289999999999999</v>
      </c>
      <c r="E12" t="s">
        <v>4</v>
      </c>
      <c r="F12">
        <f t="shared" ref="F12:F22" si="1">D12*4</f>
        <v>0.53159999999999996</v>
      </c>
    </row>
    <row r="13" spans="1:6" x14ac:dyDescent="0.2">
      <c r="A13" t="s">
        <v>12</v>
      </c>
      <c r="B13">
        <v>759952</v>
      </c>
      <c r="C13">
        <v>5989154</v>
      </c>
      <c r="D13">
        <v>0.12690000000000001</v>
      </c>
      <c r="E13" t="s">
        <v>4</v>
      </c>
      <c r="F13">
        <f t="shared" si="1"/>
        <v>0.50760000000000005</v>
      </c>
    </row>
    <row r="14" spans="1:6" x14ac:dyDescent="0.2">
      <c r="A14" t="s">
        <v>13</v>
      </c>
      <c r="B14">
        <v>753781</v>
      </c>
      <c r="C14">
        <v>1980746</v>
      </c>
      <c r="D14">
        <v>0.38059999999999999</v>
      </c>
      <c r="E14" t="s">
        <v>4</v>
      </c>
      <c r="F14">
        <f t="shared" si="1"/>
        <v>1.5224</v>
      </c>
    </row>
    <row r="15" spans="1:6" x14ac:dyDescent="0.2">
      <c r="A15" t="s">
        <v>16</v>
      </c>
      <c r="B15">
        <v>324851</v>
      </c>
      <c r="C15">
        <v>4215617</v>
      </c>
      <c r="D15">
        <v>7.7100000000000002E-2</v>
      </c>
      <c r="E15" t="s">
        <v>4</v>
      </c>
      <c r="F15">
        <f t="shared" si="1"/>
        <v>0.30840000000000001</v>
      </c>
    </row>
    <row r="16" spans="1:6" x14ac:dyDescent="0.2">
      <c r="A16" t="s">
        <v>17</v>
      </c>
      <c r="B16">
        <v>510298</v>
      </c>
      <c r="C16">
        <v>5332371</v>
      </c>
      <c r="D16">
        <v>9.5699999999999993E-2</v>
      </c>
      <c r="E16" t="s">
        <v>4</v>
      </c>
      <c r="F16">
        <f t="shared" si="1"/>
        <v>0.38279999999999997</v>
      </c>
    </row>
    <row r="17" spans="1:6" x14ac:dyDescent="0.2">
      <c r="A17" t="s">
        <v>26</v>
      </c>
      <c r="B17">
        <v>774594</v>
      </c>
      <c r="C17">
        <v>6853214</v>
      </c>
      <c r="D17">
        <v>0.113</v>
      </c>
      <c r="E17" t="s">
        <v>4</v>
      </c>
      <c r="F17">
        <f t="shared" si="1"/>
        <v>0.45200000000000001</v>
      </c>
    </row>
    <row r="18" spans="1:6" x14ac:dyDescent="0.2">
      <c r="A18" t="s">
        <v>18</v>
      </c>
      <c r="B18">
        <v>238498</v>
      </c>
      <c r="C18">
        <v>10537722</v>
      </c>
      <c r="D18">
        <v>2.2599999999999999E-2</v>
      </c>
      <c r="E18" t="s">
        <v>4</v>
      </c>
      <c r="F18">
        <f t="shared" si="1"/>
        <v>9.0399999999999994E-2</v>
      </c>
    </row>
    <row r="19" spans="1:6" x14ac:dyDescent="0.2">
      <c r="A19" t="s">
        <v>19</v>
      </c>
      <c r="B19">
        <v>412015</v>
      </c>
      <c r="C19">
        <v>23455190</v>
      </c>
      <c r="D19">
        <v>1.7600000000000001E-2</v>
      </c>
      <c r="E19" t="s">
        <v>4</v>
      </c>
      <c r="F19">
        <f t="shared" si="1"/>
        <v>7.0400000000000004E-2</v>
      </c>
    </row>
    <row r="20" spans="1:6" x14ac:dyDescent="0.2">
      <c r="A20" t="s">
        <v>20</v>
      </c>
      <c r="B20">
        <v>339007</v>
      </c>
      <c r="C20">
        <v>18795796</v>
      </c>
      <c r="D20">
        <v>1.7999999999999999E-2</v>
      </c>
      <c r="E20" t="s">
        <v>4</v>
      </c>
      <c r="F20">
        <f t="shared" si="1"/>
        <v>7.1999999999999995E-2</v>
      </c>
    </row>
    <row r="21" spans="1:6" x14ac:dyDescent="0.2">
      <c r="A21" t="s">
        <v>21</v>
      </c>
      <c r="B21">
        <v>517688</v>
      </c>
      <c r="C21">
        <v>17092504</v>
      </c>
      <c r="D21">
        <v>3.0300000000000001E-2</v>
      </c>
      <c r="E21" t="s">
        <v>4</v>
      </c>
      <c r="F21">
        <f t="shared" si="1"/>
        <v>0.1212</v>
      </c>
    </row>
    <row r="22" spans="1:6" x14ac:dyDescent="0.2">
      <c r="A22" t="s">
        <v>27</v>
      </c>
      <c r="B22">
        <v>837082</v>
      </c>
      <c r="C22">
        <v>5462681</v>
      </c>
      <c r="D22">
        <v>0.1532</v>
      </c>
      <c r="E22" t="s">
        <v>4</v>
      </c>
      <c r="F22">
        <f t="shared" si="1"/>
        <v>0.61280000000000001</v>
      </c>
    </row>
  </sheetData>
  <sortState xmlns:xlrd2="http://schemas.microsoft.com/office/spreadsheetml/2017/richdata2" ref="A3:F22">
    <sortCondition ref="A3:A2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8676-D0F3-47CD-93B5-4E6EE035213F}">
  <dimension ref="A1:F22"/>
  <sheetViews>
    <sheetView workbookViewId="0">
      <selection activeCell="J20" sqref="J20"/>
    </sheetView>
  </sheetViews>
  <sheetFormatPr baseColWidth="10" defaultColWidth="8.83203125" defaultRowHeight="15" x14ac:dyDescent="0.2"/>
  <cols>
    <col min="1" max="1" width="29.83203125" bestFit="1" customWidth="1"/>
    <col min="2" max="2" width="11.33203125" customWidth="1"/>
    <col min="3" max="3" width="11.6640625" customWidth="1"/>
    <col min="4" max="4" width="15.1640625" customWidth="1"/>
    <col min="5" max="5" width="10.33203125" customWidth="1"/>
    <col min="6" max="6" width="15.33203125" bestFit="1" customWidth="1"/>
    <col min="7" max="7" width="11" bestFit="1" customWidth="1"/>
  </cols>
  <sheetData>
    <row r="1" spans="1:6" ht="21" x14ac:dyDescent="0.25">
      <c r="A1" s="6" t="s">
        <v>28</v>
      </c>
    </row>
    <row r="2" spans="1:6" x14ac:dyDescent="0.2">
      <c r="A2" t="s">
        <v>7</v>
      </c>
      <c r="B2" t="s">
        <v>1</v>
      </c>
      <c r="C2" t="s">
        <v>2</v>
      </c>
      <c r="D2" t="s">
        <v>0</v>
      </c>
      <c r="E2" t="s">
        <v>3</v>
      </c>
      <c r="F2" t="s">
        <v>6</v>
      </c>
    </row>
    <row r="3" spans="1:6" x14ac:dyDescent="0.2">
      <c r="A3" t="s">
        <v>22</v>
      </c>
      <c r="B3">
        <v>905626</v>
      </c>
      <c r="C3">
        <v>44907848</v>
      </c>
      <c r="D3">
        <v>2.0199999999999999E-2</v>
      </c>
      <c r="E3" t="s">
        <v>4</v>
      </c>
      <c r="F3">
        <f>D3*4</f>
        <v>8.0799999999999997E-2</v>
      </c>
    </row>
    <row r="4" spans="1:6" x14ac:dyDescent="0.2">
      <c r="A4" t="s">
        <v>8</v>
      </c>
      <c r="B4">
        <v>808092</v>
      </c>
      <c r="C4">
        <v>14675938</v>
      </c>
      <c r="D4">
        <v>5.5100000000000003E-2</v>
      </c>
      <c r="E4" t="s">
        <v>4</v>
      </c>
      <c r="F4">
        <f>D4*4</f>
        <v>0.22040000000000001</v>
      </c>
    </row>
    <row r="5" spans="1:6" x14ac:dyDescent="0.2">
      <c r="A5" t="s">
        <v>9</v>
      </c>
      <c r="B5">
        <v>448091</v>
      </c>
      <c r="C5">
        <v>7859838</v>
      </c>
      <c r="D5">
        <v>5.7000000000000002E-2</v>
      </c>
      <c r="E5" t="s">
        <v>4</v>
      </c>
      <c r="F5">
        <f>D5*4</f>
        <v>0.22800000000000001</v>
      </c>
    </row>
    <row r="6" spans="1:6" x14ac:dyDescent="0.2">
      <c r="A6" t="s">
        <v>23</v>
      </c>
      <c r="B6">
        <v>1582346</v>
      </c>
      <c r="C6">
        <v>10569734</v>
      </c>
      <c r="D6">
        <v>0.1497</v>
      </c>
      <c r="E6" t="s">
        <v>4</v>
      </c>
      <c r="F6">
        <f>D6*4</f>
        <v>0.5988</v>
      </c>
    </row>
    <row r="7" spans="1:6" x14ac:dyDescent="0.2">
      <c r="A7" t="s">
        <v>14</v>
      </c>
      <c r="B7">
        <v>8734</v>
      </c>
      <c r="C7">
        <v>9691866</v>
      </c>
      <c r="D7">
        <v>8.9999999999999998E-4</v>
      </c>
      <c r="E7" t="s">
        <v>5</v>
      </c>
      <c r="F7">
        <v>0</v>
      </c>
    </row>
    <row r="8" spans="1:6" x14ac:dyDescent="0.2">
      <c r="A8" t="s">
        <v>10</v>
      </c>
      <c r="B8">
        <v>4995975</v>
      </c>
      <c r="C8">
        <v>5736069</v>
      </c>
      <c r="D8">
        <v>0.871</v>
      </c>
      <c r="E8" t="s">
        <v>4</v>
      </c>
      <c r="F8">
        <f t="shared" ref="F8:F20" si="0">D8*4</f>
        <v>3.484</v>
      </c>
    </row>
    <row r="9" spans="1:6" x14ac:dyDescent="0.2">
      <c r="A9" t="s">
        <v>15</v>
      </c>
      <c r="B9">
        <v>251886</v>
      </c>
      <c r="C9">
        <v>12867529</v>
      </c>
      <c r="D9">
        <v>2.1399999999999999E-2</v>
      </c>
      <c r="E9" t="s">
        <v>4</v>
      </c>
      <c r="F9">
        <f t="shared" si="0"/>
        <v>8.5599999999999996E-2</v>
      </c>
    </row>
    <row r="10" spans="1:6" x14ac:dyDescent="0.2">
      <c r="A10" t="s">
        <v>24</v>
      </c>
      <c r="B10">
        <v>3879945</v>
      </c>
      <c r="C10">
        <v>15116000</v>
      </c>
      <c r="D10">
        <v>0.25669999999999998</v>
      </c>
      <c r="E10" t="s">
        <v>4</v>
      </c>
      <c r="F10">
        <f t="shared" si="0"/>
        <v>1.0267999999999999</v>
      </c>
    </row>
    <row r="11" spans="1:6" x14ac:dyDescent="0.2">
      <c r="A11" t="s">
        <v>11</v>
      </c>
      <c r="B11">
        <v>403043</v>
      </c>
      <c r="C11">
        <v>6815075</v>
      </c>
      <c r="D11">
        <v>0.06</v>
      </c>
      <c r="E11" t="s">
        <v>4</v>
      </c>
      <c r="F11">
        <f t="shared" si="0"/>
        <v>0.24</v>
      </c>
    </row>
    <row r="12" spans="1:6" x14ac:dyDescent="0.2">
      <c r="A12" t="s">
        <v>25</v>
      </c>
      <c r="B12">
        <v>614659</v>
      </c>
      <c r="C12">
        <v>4426389</v>
      </c>
      <c r="D12">
        <v>0.1389</v>
      </c>
      <c r="E12" t="s">
        <v>4</v>
      </c>
      <c r="F12">
        <f t="shared" si="0"/>
        <v>0.55559999999999998</v>
      </c>
    </row>
    <row r="13" spans="1:6" x14ac:dyDescent="0.2">
      <c r="A13" t="s">
        <v>12</v>
      </c>
      <c r="B13">
        <v>337249</v>
      </c>
      <c r="C13">
        <v>6351718</v>
      </c>
      <c r="D13">
        <v>5.3100000000000001E-2</v>
      </c>
      <c r="E13" t="s">
        <v>4</v>
      </c>
      <c r="F13">
        <f t="shared" si="0"/>
        <v>0.21240000000000001</v>
      </c>
    </row>
    <row r="14" spans="1:6" x14ac:dyDescent="0.2">
      <c r="A14" t="s">
        <v>13</v>
      </c>
      <c r="B14">
        <v>2160223</v>
      </c>
      <c r="C14">
        <v>3496640</v>
      </c>
      <c r="D14">
        <v>0.61780000000000002</v>
      </c>
      <c r="E14" t="s">
        <v>4</v>
      </c>
      <c r="F14">
        <f t="shared" si="0"/>
        <v>2.4712000000000001</v>
      </c>
    </row>
    <row r="15" spans="1:6" x14ac:dyDescent="0.2">
      <c r="A15" t="s">
        <v>16</v>
      </c>
      <c r="B15">
        <v>594674</v>
      </c>
      <c r="C15">
        <v>10188706</v>
      </c>
      <c r="D15">
        <v>5.8400000000000001E-2</v>
      </c>
      <c r="E15" t="s">
        <v>4</v>
      </c>
      <c r="F15">
        <f t="shared" si="0"/>
        <v>0.2336</v>
      </c>
    </row>
    <row r="16" spans="1:6" x14ac:dyDescent="0.2">
      <c r="A16" t="s">
        <v>17</v>
      </c>
      <c r="B16">
        <v>259901</v>
      </c>
      <c r="C16">
        <v>10963772</v>
      </c>
      <c r="D16">
        <v>2.3699999999999999E-2</v>
      </c>
      <c r="E16" t="s">
        <v>4</v>
      </c>
      <c r="F16">
        <f t="shared" si="0"/>
        <v>9.4799999999999995E-2</v>
      </c>
    </row>
    <row r="17" spans="1:6" x14ac:dyDescent="0.2">
      <c r="A17" t="s">
        <v>26</v>
      </c>
      <c r="B17">
        <v>564484</v>
      </c>
      <c r="C17">
        <v>5546696</v>
      </c>
      <c r="D17">
        <v>0.1018</v>
      </c>
      <c r="E17" t="s">
        <v>4</v>
      </c>
      <c r="F17">
        <f t="shared" si="0"/>
        <v>0.40720000000000001</v>
      </c>
    </row>
    <row r="18" spans="1:6" x14ac:dyDescent="0.2">
      <c r="A18" t="s">
        <v>18</v>
      </c>
      <c r="B18">
        <v>569174</v>
      </c>
      <c r="C18">
        <v>6509742</v>
      </c>
      <c r="D18">
        <v>8.7400000000000005E-2</v>
      </c>
      <c r="E18" t="s">
        <v>4</v>
      </c>
      <c r="F18">
        <f t="shared" si="0"/>
        <v>0.34960000000000002</v>
      </c>
    </row>
    <row r="19" spans="1:6" x14ac:dyDescent="0.2">
      <c r="A19" t="s">
        <v>19</v>
      </c>
      <c r="B19">
        <v>208909</v>
      </c>
      <c r="C19">
        <v>8302485</v>
      </c>
      <c r="D19">
        <v>2.52E-2</v>
      </c>
      <c r="E19" t="s">
        <v>4</v>
      </c>
      <c r="F19">
        <f t="shared" si="0"/>
        <v>0.1008</v>
      </c>
    </row>
    <row r="20" spans="1:6" x14ac:dyDescent="0.2">
      <c r="A20" t="s">
        <v>20</v>
      </c>
      <c r="B20">
        <v>856697</v>
      </c>
      <c r="C20">
        <v>9931953</v>
      </c>
      <c r="D20">
        <v>8.6300000000000002E-2</v>
      </c>
      <c r="E20" t="s">
        <v>4</v>
      </c>
      <c r="F20">
        <f t="shared" si="0"/>
        <v>0.34520000000000001</v>
      </c>
    </row>
    <row r="21" spans="1:6" x14ac:dyDescent="0.2">
      <c r="A21" t="s">
        <v>21</v>
      </c>
      <c r="B21">
        <v>98856</v>
      </c>
      <c r="C21">
        <v>7778019</v>
      </c>
      <c r="D21">
        <v>1.2699999999999999E-2</v>
      </c>
      <c r="E21" t="s">
        <v>5</v>
      </c>
      <c r="F21">
        <v>0</v>
      </c>
    </row>
    <row r="22" spans="1:6" x14ac:dyDescent="0.2">
      <c r="A22" t="s">
        <v>27</v>
      </c>
      <c r="B22">
        <v>763779</v>
      </c>
      <c r="C22">
        <v>5962987</v>
      </c>
      <c r="D22">
        <v>0.12809999999999999</v>
      </c>
      <c r="E22" t="s">
        <v>4</v>
      </c>
      <c r="F22">
        <f>D22*4</f>
        <v>0.51239999999999997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5729-CB79-47B4-99A0-A820C52B11AB}">
  <dimension ref="A1:F22"/>
  <sheetViews>
    <sheetView workbookViewId="0"/>
  </sheetViews>
  <sheetFormatPr baseColWidth="10" defaultColWidth="8.83203125" defaultRowHeight="15" x14ac:dyDescent="0.2"/>
  <cols>
    <col min="1" max="1" width="29.83203125" bestFit="1" customWidth="1"/>
    <col min="2" max="2" width="11.33203125" customWidth="1"/>
    <col min="3" max="3" width="11.6640625" customWidth="1"/>
    <col min="4" max="4" width="15.1640625" customWidth="1"/>
    <col min="5" max="5" width="10.33203125" customWidth="1"/>
    <col min="6" max="6" width="15.33203125" bestFit="1" customWidth="1"/>
  </cols>
  <sheetData>
    <row r="1" spans="1:6" ht="21" x14ac:dyDescent="0.25">
      <c r="A1" s="6" t="s">
        <v>65</v>
      </c>
    </row>
    <row r="2" spans="1:6" x14ac:dyDescent="0.2">
      <c r="A2" t="s">
        <v>7</v>
      </c>
      <c r="B2" t="s">
        <v>1</v>
      </c>
      <c r="C2" t="s">
        <v>2</v>
      </c>
      <c r="D2" t="s">
        <v>0</v>
      </c>
      <c r="E2" t="s">
        <v>3</v>
      </c>
      <c r="F2" t="s">
        <v>6</v>
      </c>
    </row>
    <row r="3" spans="1:6" x14ac:dyDescent="0.2">
      <c r="A3" t="s">
        <v>22</v>
      </c>
      <c r="B3">
        <v>203237</v>
      </c>
      <c r="C3">
        <v>375228416</v>
      </c>
      <c r="D3">
        <v>5.0000000000000001E-4</v>
      </c>
      <c r="E3" t="s">
        <v>4</v>
      </c>
      <c r="F3">
        <f t="shared" ref="F3:F18" si="0">D3*4</f>
        <v>2E-3</v>
      </c>
    </row>
    <row r="4" spans="1:6" x14ac:dyDescent="0.2">
      <c r="A4" t="s">
        <v>8</v>
      </c>
      <c r="B4">
        <v>451605</v>
      </c>
      <c r="C4">
        <v>231707840</v>
      </c>
      <c r="D4">
        <v>1.9E-3</v>
      </c>
      <c r="E4" t="s">
        <v>4</v>
      </c>
      <c r="F4">
        <f t="shared" si="0"/>
        <v>7.6E-3</v>
      </c>
    </row>
    <row r="5" spans="1:6" x14ac:dyDescent="0.2">
      <c r="A5" t="s">
        <v>9</v>
      </c>
      <c r="B5">
        <v>1069989</v>
      </c>
      <c r="C5">
        <v>113221040</v>
      </c>
      <c r="D5">
        <v>9.4999999999999998E-3</v>
      </c>
      <c r="E5" t="s">
        <v>4</v>
      </c>
      <c r="F5">
        <f t="shared" si="0"/>
        <v>3.7999999999999999E-2</v>
      </c>
    </row>
    <row r="6" spans="1:6" x14ac:dyDescent="0.2">
      <c r="A6" t="s">
        <v>23</v>
      </c>
      <c r="B6">
        <v>2558182</v>
      </c>
      <c r="C6">
        <v>201001952</v>
      </c>
      <c r="D6">
        <v>1.2699999999999999E-2</v>
      </c>
      <c r="E6" t="s">
        <v>4</v>
      </c>
      <c r="F6">
        <f t="shared" si="0"/>
        <v>5.0799999999999998E-2</v>
      </c>
    </row>
    <row r="7" spans="1:6" x14ac:dyDescent="0.2">
      <c r="A7" t="s">
        <v>14</v>
      </c>
      <c r="B7">
        <v>502895</v>
      </c>
      <c r="C7">
        <v>273265888</v>
      </c>
      <c r="D7">
        <v>1.8E-3</v>
      </c>
      <c r="E7" t="s">
        <v>4</v>
      </c>
      <c r="F7">
        <f t="shared" si="0"/>
        <v>7.1999999999999998E-3</v>
      </c>
    </row>
    <row r="8" spans="1:6" x14ac:dyDescent="0.2">
      <c r="A8" t="s">
        <v>10</v>
      </c>
      <c r="B8">
        <v>1039717</v>
      </c>
      <c r="C8">
        <v>76870848</v>
      </c>
      <c r="D8">
        <v>1.35E-2</v>
      </c>
      <c r="E8" t="s">
        <v>4</v>
      </c>
      <c r="F8">
        <f t="shared" si="0"/>
        <v>5.3999999999999999E-2</v>
      </c>
    </row>
    <row r="9" spans="1:6" x14ac:dyDescent="0.2">
      <c r="A9" t="s">
        <v>15</v>
      </c>
      <c r="B9">
        <v>888326</v>
      </c>
      <c r="C9">
        <v>307586016</v>
      </c>
      <c r="D9">
        <v>2.8999999999999998E-3</v>
      </c>
      <c r="E9" t="s">
        <v>4</v>
      </c>
      <c r="F9">
        <f t="shared" si="0"/>
        <v>1.1599999999999999E-2</v>
      </c>
    </row>
    <row r="10" spans="1:6" x14ac:dyDescent="0.2">
      <c r="A10" t="s">
        <v>24</v>
      </c>
      <c r="B10">
        <v>1456463</v>
      </c>
      <c r="C10">
        <v>136648720</v>
      </c>
      <c r="D10">
        <v>1.0699999999999999E-2</v>
      </c>
      <c r="E10" t="s">
        <v>4</v>
      </c>
      <c r="F10">
        <f t="shared" si="0"/>
        <v>4.2799999999999998E-2</v>
      </c>
    </row>
    <row r="11" spans="1:6" x14ac:dyDescent="0.2">
      <c r="A11" t="s">
        <v>11</v>
      </c>
      <c r="B11">
        <v>761437</v>
      </c>
      <c r="C11">
        <v>64910624</v>
      </c>
      <c r="D11">
        <v>1.17E-2</v>
      </c>
      <c r="E11" t="s">
        <v>4</v>
      </c>
      <c r="F11">
        <f t="shared" si="0"/>
        <v>4.6800000000000001E-2</v>
      </c>
    </row>
    <row r="12" spans="1:6" x14ac:dyDescent="0.2">
      <c r="A12" t="s">
        <v>25</v>
      </c>
      <c r="B12">
        <v>678548</v>
      </c>
      <c r="C12">
        <v>72017072</v>
      </c>
      <c r="D12">
        <v>9.4000000000000004E-3</v>
      </c>
      <c r="E12" t="s">
        <v>4</v>
      </c>
      <c r="F12">
        <f t="shared" si="0"/>
        <v>3.7600000000000001E-2</v>
      </c>
    </row>
    <row r="13" spans="1:6" x14ac:dyDescent="0.2">
      <c r="A13" t="s">
        <v>12</v>
      </c>
      <c r="B13">
        <v>1524177</v>
      </c>
      <c r="C13">
        <v>147469296</v>
      </c>
      <c r="D13">
        <v>1.03E-2</v>
      </c>
      <c r="E13" t="s">
        <v>4</v>
      </c>
      <c r="F13">
        <f t="shared" si="0"/>
        <v>4.1200000000000001E-2</v>
      </c>
    </row>
    <row r="14" spans="1:6" x14ac:dyDescent="0.2">
      <c r="A14" t="s">
        <v>13</v>
      </c>
      <c r="B14">
        <v>1723789</v>
      </c>
      <c r="C14">
        <v>56263608</v>
      </c>
      <c r="D14">
        <v>3.0599999999999999E-2</v>
      </c>
      <c r="E14" t="s">
        <v>4</v>
      </c>
      <c r="F14">
        <f t="shared" si="0"/>
        <v>0.12239999999999999</v>
      </c>
    </row>
    <row r="15" spans="1:6" x14ac:dyDescent="0.2">
      <c r="A15" t="s">
        <v>16</v>
      </c>
      <c r="B15">
        <v>512770</v>
      </c>
      <c r="C15">
        <v>97534944</v>
      </c>
      <c r="D15">
        <v>5.3E-3</v>
      </c>
      <c r="E15" t="s">
        <v>4</v>
      </c>
      <c r="F15">
        <f t="shared" si="0"/>
        <v>2.12E-2</v>
      </c>
    </row>
    <row r="16" spans="1:6" x14ac:dyDescent="0.2">
      <c r="A16" t="s">
        <v>17</v>
      </c>
      <c r="B16">
        <v>637692</v>
      </c>
      <c r="C16">
        <v>196732496</v>
      </c>
      <c r="D16">
        <v>3.2000000000000002E-3</v>
      </c>
      <c r="E16" t="s">
        <v>4</v>
      </c>
      <c r="F16">
        <f t="shared" si="0"/>
        <v>1.2800000000000001E-2</v>
      </c>
    </row>
    <row r="17" spans="1:6" x14ac:dyDescent="0.2">
      <c r="A17" t="s">
        <v>26</v>
      </c>
      <c r="B17">
        <v>1555041</v>
      </c>
      <c r="C17">
        <v>148364480</v>
      </c>
      <c r="D17">
        <v>1.0500000000000001E-2</v>
      </c>
      <c r="E17" t="s">
        <v>4</v>
      </c>
      <c r="F17">
        <f t="shared" si="0"/>
        <v>4.2000000000000003E-2</v>
      </c>
    </row>
    <row r="18" spans="1:6" x14ac:dyDescent="0.2">
      <c r="A18" t="s">
        <v>18</v>
      </c>
      <c r="B18">
        <v>536431</v>
      </c>
      <c r="C18">
        <v>67400576</v>
      </c>
      <c r="D18">
        <v>9.5999999999999992E-3</v>
      </c>
      <c r="E18" t="s">
        <v>4</v>
      </c>
      <c r="F18">
        <f t="shared" si="0"/>
        <v>3.8399999999999997E-2</v>
      </c>
    </row>
    <row r="19" spans="1:6" x14ac:dyDescent="0.2">
      <c r="A19" t="s">
        <v>19</v>
      </c>
      <c r="B19">
        <v>628900</v>
      </c>
      <c r="C19">
        <v>249282864</v>
      </c>
      <c r="D19">
        <v>2.5000000000000001E-3</v>
      </c>
      <c r="E19" t="s">
        <v>5</v>
      </c>
      <c r="F19">
        <v>0</v>
      </c>
    </row>
    <row r="20" spans="1:6" x14ac:dyDescent="0.2">
      <c r="A20" t="s">
        <v>20</v>
      </c>
      <c r="B20">
        <v>2446574</v>
      </c>
      <c r="C20">
        <v>177329728</v>
      </c>
      <c r="D20">
        <v>1.38E-2</v>
      </c>
      <c r="E20" t="s">
        <v>4</v>
      </c>
      <c r="F20">
        <f>D20*4</f>
        <v>5.5199999999999999E-2</v>
      </c>
    </row>
    <row r="21" spans="1:6" x14ac:dyDescent="0.2">
      <c r="A21" t="s">
        <v>21</v>
      </c>
      <c r="B21">
        <v>831978</v>
      </c>
      <c r="C21">
        <v>184349136</v>
      </c>
      <c r="D21">
        <v>4.4999999999999997E-3</v>
      </c>
      <c r="E21" t="s">
        <v>4</v>
      </c>
      <c r="F21">
        <f>D21*4</f>
        <v>1.7999999999999999E-2</v>
      </c>
    </row>
    <row r="22" spans="1:6" x14ac:dyDescent="0.2">
      <c r="A22" t="s">
        <v>27</v>
      </c>
      <c r="B22">
        <v>1075380</v>
      </c>
      <c r="C22">
        <v>125603936</v>
      </c>
      <c r="D22">
        <v>8.6E-3</v>
      </c>
      <c r="E22" t="s">
        <v>4</v>
      </c>
      <c r="F22">
        <f>D22*4</f>
        <v>3.44E-2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D2F9-B260-4BAD-9EB2-FDB12B04CFA7}">
  <dimension ref="A1:F22"/>
  <sheetViews>
    <sheetView workbookViewId="0">
      <selection activeCell="H23" sqref="H23"/>
    </sheetView>
  </sheetViews>
  <sheetFormatPr baseColWidth="10" defaultColWidth="8.83203125" defaultRowHeight="15" x14ac:dyDescent="0.2"/>
  <cols>
    <col min="1" max="1" width="29.83203125" bestFit="1" customWidth="1"/>
    <col min="2" max="2" width="11.33203125" customWidth="1"/>
    <col min="3" max="3" width="11.6640625" customWidth="1"/>
    <col min="4" max="4" width="15.1640625" customWidth="1"/>
    <col min="5" max="5" width="10.33203125" customWidth="1"/>
    <col min="6" max="6" width="15.33203125" bestFit="1" customWidth="1"/>
    <col min="7" max="7" width="18.6640625" bestFit="1" customWidth="1"/>
    <col min="8" max="8" width="11" bestFit="1" customWidth="1"/>
  </cols>
  <sheetData>
    <row r="1" spans="1:6" ht="21" x14ac:dyDescent="0.25">
      <c r="A1" s="6" t="s">
        <v>31</v>
      </c>
    </row>
    <row r="2" spans="1:6" x14ac:dyDescent="0.2">
      <c r="A2" t="s">
        <v>7</v>
      </c>
      <c r="B2" t="s">
        <v>1</v>
      </c>
      <c r="C2" t="s">
        <v>2</v>
      </c>
      <c r="D2" t="s">
        <v>0</v>
      </c>
      <c r="E2" t="s">
        <v>3</v>
      </c>
      <c r="F2" t="s">
        <v>6</v>
      </c>
    </row>
    <row r="3" spans="1:6" x14ac:dyDescent="0.2">
      <c r="A3" t="s">
        <v>22</v>
      </c>
      <c r="B3">
        <v>1297196</v>
      </c>
      <c r="C3">
        <v>23760030</v>
      </c>
      <c r="D3">
        <v>5.4600000000000003E-2</v>
      </c>
      <c r="E3" t="s">
        <v>4</v>
      </c>
      <c r="F3">
        <f t="shared" ref="F3:F22" si="0">D3*4</f>
        <v>0.21840000000000001</v>
      </c>
    </row>
    <row r="4" spans="1:6" x14ac:dyDescent="0.2">
      <c r="A4" t="s">
        <v>8</v>
      </c>
      <c r="B4">
        <v>1516547</v>
      </c>
      <c r="C4">
        <v>32081828</v>
      </c>
      <c r="D4">
        <v>4.7300000000000002E-2</v>
      </c>
      <c r="E4" t="s">
        <v>4</v>
      </c>
      <c r="F4">
        <f t="shared" si="0"/>
        <v>0.18920000000000001</v>
      </c>
    </row>
    <row r="5" spans="1:6" x14ac:dyDescent="0.2">
      <c r="A5" t="s">
        <v>9</v>
      </c>
      <c r="B5">
        <v>1370314</v>
      </c>
      <c r="C5">
        <v>21739750</v>
      </c>
      <c r="D5">
        <v>6.3E-2</v>
      </c>
      <c r="E5" t="s">
        <v>4</v>
      </c>
      <c r="F5">
        <f t="shared" si="0"/>
        <v>0.252</v>
      </c>
    </row>
    <row r="6" spans="1:6" x14ac:dyDescent="0.2">
      <c r="A6" t="s">
        <v>23</v>
      </c>
      <c r="B6">
        <v>1192282</v>
      </c>
      <c r="C6">
        <v>8792200</v>
      </c>
      <c r="D6">
        <v>0.1356</v>
      </c>
      <c r="E6" t="s">
        <v>4</v>
      </c>
      <c r="F6">
        <f t="shared" si="0"/>
        <v>0.54239999999999999</v>
      </c>
    </row>
    <row r="7" spans="1:6" x14ac:dyDescent="0.2">
      <c r="A7" t="s">
        <v>14</v>
      </c>
      <c r="B7">
        <v>3578448</v>
      </c>
      <c r="C7">
        <v>10641919</v>
      </c>
      <c r="D7">
        <v>0.33629999999999999</v>
      </c>
      <c r="E7" t="s">
        <v>4</v>
      </c>
      <c r="F7">
        <f t="shared" si="0"/>
        <v>1.3452</v>
      </c>
    </row>
    <row r="8" spans="1:6" x14ac:dyDescent="0.2">
      <c r="A8" t="s">
        <v>10</v>
      </c>
      <c r="B8">
        <v>1171578</v>
      </c>
      <c r="C8">
        <v>3214350</v>
      </c>
      <c r="D8">
        <v>0.36449999999999999</v>
      </c>
      <c r="E8" t="s">
        <v>4</v>
      </c>
      <c r="F8">
        <f t="shared" si="0"/>
        <v>1.458</v>
      </c>
    </row>
    <row r="9" spans="1:6" x14ac:dyDescent="0.2">
      <c r="A9" t="s">
        <v>15</v>
      </c>
      <c r="B9">
        <v>1573615</v>
      </c>
      <c r="C9">
        <v>16784044</v>
      </c>
      <c r="D9">
        <v>9.3799999999999994E-2</v>
      </c>
      <c r="E9" t="s">
        <v>4</v>
      </c>
      <c r="F9">
        <f t="shared" si="0"/>
        <v>0.37519999999999998</v>
      </c>
    </row>
    <row r="10" spans="1:6" x14ac:dyDescent="0.2">
      <c r="A10" t="s">
        <v>24</v>
      </c>
      <c r="B10">
        <v>1483937</v>
      </c>
      <c r="C10">
        <v>11707774</v>
      </c>
      <c r="D10">
        <v>0.12670000000000001</v>
      </c>
      <c r="E10" t="s">
        <v>4</v>
      </c>
      <c r="F10">
        <f t="shared" si="0"/>
        <v>0.50680000000000003</v>
      </c>
    </row>
    <row r="11" spans="1:6" x14ac:dyDescent="0.2">
      <c r="A11" t="s">
        <v>11</v>
      </c>
      <c r="B11">
        <v>754671</v>
      </c>
      <c r="C11">
        <v>2863327</v>
      </c>
      <c r="D11">
        <v>0.2636</v>
      </c>
      <c r="E11" t="s">
        <v>4</v>
      </c>
      <c r="F11">
        <f t="shared" si="0"/>
        <v>1.0544</v>
      </c>
    </row>
    <row r="12" spans="1:6" x14ac:dyDescent="0.2">
      <c r="A12" t="s">
        <v>25</v>
      </c>
      <c r="B12">
        <v>2412431</v>
      </c>
      <c r="C12">
        <v>6126828</v>
      </c>
      <c r="D12">
        <v>0.39369999999999999</v>
      </c>
      <c r="E12" t="s">
        <v>4</v>
      </c>
      <c r="F12">
        <f t="shared" si="0"/>
        <v>1.5748</v>
      </c>
    </row>
    <row r="13" spans="1:6" x14ac:dyDescent="0.2">
      <c r="A13" t="s">
        <v>12</v>
      </c>
      <c r="B13">
        <v>2811820</v>
      </c>
      <c r="C13">
        <v>7599604</v>
      </c>
      <c r="D13">
        <v>0.37</v>
      </c>
      <c r="E13" t="s">
        <v>4</v>
      </c>
      <c r="F13">
        <f t="shared" si="0"/>
        <v>1.48</v>
      </c>
    </row>
    <row r="14" spans="1:6" x14ac:dyDescent="0.2">
      <c r="A14" t="s">
        <v>13</v>
      </c>
      <c r="B14">
        <v>1444991</v>
      </c>
      <c r="C14">
        <v>3043387</v>
      </c>
      <c r="D14">
        <v>0.4748</v>
      </c>
      <c r="E14" t="s">
        <v>4</v>
      </c>
      <c r="F14">
        <f t="shared" si="0"/>
        <v>1.8992</v>
      </c>
    </row>
    <row r="15" spans="1:6" x14ac:dyDescent="0.2">
      <c r="A15" t="s">
        <v>16</v>
      </c>
      <c r="B15">
        <v>1486404</v>
      </c>
      <c r="C15">
        <v>3911638</v>
      </c>
      <c r="D15">
        <v>0.38</v>
      </c>
      <c r="E15" t="s">
        <v>4</v>
      </c>
      <c r="F15">
        <f t="shared" si="0"/>
        <v>1.52</v>
      </c>
    </row>
    <row r="16" spans="1:6" x14ac:dyDescent="0.2">
      <c r="A16" t="s">
        <v>17</v>
      </c>
      <c r="B16">
        <v>966377</v>
      </c>
      <c r="C16">
        <v>8872615</v>
      </c>
      <c r="D16">
        <v>0.1089</v>
      </c>
      <c r="E16" t="s">
        <v>4</v>
      </c>
      <c r="F16">
        <f t="shared" si="0"/>
        <v>0.43559999999999999</v>
      </c>
    </row>
    <row r="17" spans="1:6" x14ac:dyDescent="0.2">
      <c r="A17" t="s">
        <v>26</v>
      </c>
      <c r="B17">
        <v>1312736</v>
      </c>
      <c r="C17">
        <v>6663604</v>
      </c>
      <c r="D17">
        <v>0.19700000000000001</v>
      </c>
      <c r="E17" t="s">
        <v>4</v>
      </c>
      <c r="F17">
        <f t="shared" si="0"/>
        <v>0.78800000000000003</v>
      </c>
    </row>
    <row r="18" spans="1:6" x14ac:dyDescent="0.2">
      <c r="A18" t="s">
        <v>18</v>
      </c>
      <c r="B18">
        <v>2274852</v>
      </c>
      <c r="C18">
        <v>13400160</v>
      </c>
      <c r="D18">
        <v>0.16980000000000001</v>
      </c>
      <c r="E18" t="s">
        <v>4</v>
      </c>
      <c r="F18">
        <f t="shared" si="0"/>
        <v>0.67920000000000003</v>
      </c>
    </row>
    <row r="19" spans="1:6" x14ac:dyDescent="0.2">
      <c r="A19" t="s">
        <v>19</v>
      </c>
      <c r="B19">
        <v>1666911</v>
      </c>
      <c r="C19">
        <v>23765628</v>
      </c>
      <c r="D19">
        <v>7.0099999999999996E-2</v>
      </c>
      <c r="E19" t="s">
        <v>4</v>
      </c>
      <c r="F19">
        <f t="shared" si="0"/>
        <v>0.28039999999999998</v>
      </c>
    </row>
    <row r="20" spans="1:6" x14ac:dyDescent="0.2">
      <c r="A20" t="s">
        <v>20</v>
      </c>
      <c r="B20">
        <v>2028199</v>
      </c>
      <c r="C20">
        <v>31809716</v>
      </c>
      <c r="D20">
        <v>6.3799999999999996E-2</v>
      </c>
      <c r="E20" t="s">
        <v>4</v>
      </c>
      <c r="F20">
        <f t="shared" si="0"/>
        <v>0.25519999999999998</v>
      </c>
    </row>
    <row r="21" spans="1:6" x14ac:dyDescent="0.2">
      <c r="A21" t="s">
        <v>21</v>
      </c>
      <c r="B21">
        <v>1217816</v>
      </c>
      <c r="C21">
        <v>19475880</v>
      </c>
      <c r="D21">
        <v>6.25E-2</v>
      </c>
      <c r="E21" t="s">
        <v>4</v>
      </c>
      <c r="F21">
        <f t="shared" si="0"/>
        <v>0.25</v>
      </c>
    </row>
    <row r="22" spans="1:6" x14ac:dyDescent="0.2">
      <c r="A22" t="s">
        <v>27</v>
      </c>
      <c r="B22">
        <v>1788779</v>
      </c>
      <c r="C22">
        <v>6984734</v>
      </c>
      <c r="D22">
        <v>0.25609999999999999</v>
      </c>
      <c r="E22" t="s">
        <v>4</v>
      </c>
      <c r="F22">
        <f t="shared" si="0"/>
        <v>1.0244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BD29-9334-4FA1-8D06-040ACC193CC8}">
  <dimension ref="A1:F22"/>
  <sheetViews>
    <sheetView workbookViewId="0"/>
  </sheetViews>
  <sheetFormatPr baseColWidth="10" defaultColWidth="8.83203125" defaultRowHeight="15" x14ac:dyDescent="0.2"/>
  <cols>
    <col min="1" max="1" width="29.83203125" bestFit="1" customWidth="1"/>
    <col min="2" max="2" width="11.33203125" customWidth="1"/>
    <col min="3" max="3" width="11.6640625" customWidth="1"/>
    <col min="4" max="4" width="15.1640625" customWidth="1"/>
    <col min="5" max="5" width="10.33203125" customWidth="1"/>
    <col min="6" max="6" width="15.33203125" bestFit="1" customWidth="1"/>
    <col min="7" max="7" width="18.6640625" customWidth="1"/>
  </cols>
  <sheetData>
    <row r="1" spans="1:6" ht="21" x14ac:dyDescent="0.25">
      <c r="A1" s="6" t="s">
        <v>63</v>
      </c>
    </row>
    <row r="2" spans="1:6" x14ac:dyDescent="0.2">
      <c r="A2" t="s">
        <v>7</v>
      </c>
      <c r="B2" t="s">
        <v>1</v>
      </c>
      <c r="C2" t="s">
        <v>2</v>
      </c>
      <c r="D2" t="s">
        <v>0</v>
      </c>
      <c r="E2" t="s">
        <v>3</v>
      </c>
      <c r="F2" t="s">
        <v>6</v>
      </c>
    </row>
    <row r="3" spans="1:6" x14ac:dyDescent="0.2">
      <c r="A3" t="s">
        <v>22</v>
      </c>
      <c r="B3">
        <v>0</v>
      </c>
      <c r="C3">
        <v>5201820</v>
      </c>
      <c r="D3">
        <v>0</v>
      </c>
      <c r="E3" t="s">
        <v>5</v>
      </c>
      <c r="F3">
        <v>0</v>
      </c>
    </row>
    <row r="4" spans="1:6" x14ac:dyDescent="0.2">
      <c r="A4" t="s">
        <v>8</v>
      </c>
      <c r="B4">
        <v>214994</v>
      </c>
      <c r="C4">
        <v>2535740</v>
      </c>
      <c r="D4">
        <v>8.48E-2</v>
      </c>
      <c r="E4" t="s">
        <v>4</v>
      </c>
      <c r="F4">
        <f t="shared" ref="F4:F12" si="0">D4*4</f>
        <v>0.3392</v>
      </c>
    </row>
    <row r="5" spans="1:6" x14ac:dyDescent="0.2">
      <c r="A5" t="s">
        <v>9</v>
      </c>
      <c r="B5">
        <v>303581</v>
      </c>
      <c r="C5">
        <v>5643175</v>
      </c>
      <c r="D5">
        <v>5.3800000000000001E-2</v>
      </c>
      <c r="E5" t="s">
        <v>4</v>
      </c>
      <c r="F5">
        <f t="shared" si="0"/>
        <v>0.2152</v>
      </c>
    </row>
    <row r="6" spans="1:6" x14ac:dyDescent="0.2">
      <c r="A6" t="s">
        <v>23</v>
      </c>
      <c r="B6">
        <v>2267740</v>
      </c>
      <c r="C6">
        <v>3158492</v>
      </c>
      <c r="D6">
        <v>0.71799999999999997</v>
      </c>
      <c r="E6" t="s">
        <v>4</v>
      </c>
      <c r="F6">
        <f t="shared" si="0"/>
        <v>2.8719999999999999</v>
      </c>
    </row>
    <row r="7" spans="1:6" x14ac:dyDescent="0.2">
      <c r="A7" t="s">
        <v>14</v>
      </c>
      <c r="B7">
        <v>102468</v>
      </c>
      <c r="C7">
        <v>2026187</v>
      </c>
      <c r="D7">
        <v>5.0599999999999999E-2</v>
      </c>
      <c r="E7" t="s">
        <v>4</v>
      </c>
      <c r="F7">
        <f t="shared" si="0"/>
        <v>0.2024</v>
      </c>
    </row>
    <row r="8" spans="1:6" x14ac:dyDescent="0.2">
      <c r="A8" t="s">
        <v>10</v>
      </c>
      <c r="B8">
        <v>1028840</v>
      </c>
      <c r="C8">
        <v>12316554</v>
      </c>
      <c r="D8">
        <v>8.3500000000000005E-2</v>
      </c>
      <c r="E8" t="s">
        <v>4</v>
      </c>
      <c r="F8">
        <f t="shared" si="0"/>
        <v>0.33400000000000002</v>
      </c>
    </row>
    <row r="9" spans="1:6" x14ac:dyDescent="0.2">
      <c r="A9" t="s">
        <v>15</v>
      </c>
      <c r="B9">
        <v>301894</v>
      </c>
      <c r="C9">
        <v>2677173</v>
      </c>
      <c r="D9">
        <v>0.1128</v>
      </c>
      <c r="E9" t="s">
        <v>4</v>
      </c>
      <c r="F9">
        <f t="shared" si="0"/>
        <v>0.45119999999999999</v>
      </c>
    </row>
    <row r="10" spans="1:6" x14ac:dyDescent="0.2">
      <c r="A10" t="s">
        <v>24</v>
      </c>
      <c r="B10">
        <v>680345</v>
      </c>
      <c r="C10">
        <v>5445481</v>
      </c>
      <c r="D10">
        <v>0.1249</v>
      </c>
      <c r="E10" t="s">
        <v>4</v>
      </c>
      <c r="F10">
        <f t="shared" si="0"/>
        <v>0.49959999999999999</v>
      </c>
    </row>
    <row r="11" spans="1:6" x14ac:dyDescent="0.2">
      <c r="A11" t="s">
        <v>11</v>
      </c>
      <c r="B11">
        <v>436386</v>
      </c>
      <c r="C11">
        <v>2641312</v>
      </c>
      <c r="D11">
        <v>0.16520000000000001</v>
      </c>
      <c r="E11" t="s">
        <v>4</v>
      </c>
      <c r="F11">
        <f t="shared" si="0"/>
        <v>0.66080000000000005</v>
      </c>
    </row>
    <row r="12" spans="1:6" x14ac:dyDescent="0.2">
      <c r="A12" t="s">
        <v>25</v>
      </c>
      <c r="B12">
        <v>190089</v>
      </c>
      <c r="C12">
        <v>1283940</v>
      </c>
      <c r="D12">
        <v>0.14810000000000001</v>
      </c>
      <c r="E12" t="s">
        <v>4</v>
      </c>
      <c r="F12">
        <f t="shared" si="0"/>
        <v>0.59240000000000004</v>
      </c>
    </row>
    <row r="13" spans="1:6" x14ac:dyDescent="0.2">
      <c r="A13" t="s">
        <v>12</v>
      </c>
      <c r="B13">
        <v>58530</v>
      </c>
      <c r="C13">
        <v>1316473</v>
      </c>
      <c r="D13">
        <v>4.4499999999999998E-2</v>
      </c>
      <c r="E13" t="s">
        <v>5</v>
      </c>
      <c r="F13">
        <v>0</v>
      </c>
    </row>
    <row r="14" spans="1:6" x14ac:dyDescent="0.2">
      <c r="A14" t="s">
        <v>13</v>
      </c>
      <c r="B14">
        <v>0</v>
      </c>
      <c r="C14">
        <v>592788</v>
      </c>
      <c r="D14">
        <v>0</v>
      </c>
      <c r="E14" t="s">
        <v>5</v>
      </c>
      <c r="F14">
        <v>0</v>
      </c>
    </row>
    <row r="15" spans="1:6" x14ac:dyDescent="0.2">
      <c r="A15" t="s">
        <v>16</v>
      </c>
      <c r="B15">
        <v>88182</v>
      </c>
      <c r="C15">
        <v>1743293</v>
      </c>
      <c r="D15">
        <v>5.0599999999999999E-2</v>
      </c>
      <c r="E15" t="s">
        <v>4</v>
      </c>
      <c r="F15">
        <f>D15*4</f>
        <v>0.2024</v>
      </c>
    </row>
    <row r="16" spans="1:6" x14ac:dyDescent="0.2">
      <c r="A16" t="s">
        <v>17</v>
      </c>
      <c r="B16">
        <v>0</v>
      </c>
      <c r="C16">
        <v>402617</v>
      </c>
      <c r="D16">
        <v>0</v>
      </c>
      <c r="E16" t="s">
        <v>5</v>
      </c>
      <c r="F16">
        <v>0</v>
      </c>
    </row>
    <row r="17" spans="1:6" x14ac:dyDescent="0.2">
      <c r="A17" t="s">
        <v>26</v>
      </c>
      <c r="B17">
        <v>955713</v>
      </c>
      <c r="C17">
        <v>3141479</v>
      </c>
      <c r="D17">
        <v>0.30420000000000003</v>
      </c>
      <c r="E17" t="s">
        <v>4</v>
      </c>
      <c r="F17">
        <f>D17*4</f>
        <v>1.2168000000000001</v>
      </c>
    </row>
    <row r="18" spans="1:6" x14ac:dyDescent="0.2">
      <c r="A18" t="s">
        <v>18</v>
      </c>
      <c r="B18">
        <v>201743</v>
      </c>
      <c r="C18">
        <v>4046918</v>
      </c>
      <c r="D18">
        <v>4.99E-2</v>
      </c>
      <c r="E18" t="s">
        <v>4</v>
      </c>
      <c r="F18">
        <f>D18*4</f>
        <v>0.1996</v>
      </c>
    </row>
    <row r="19" spans="1:6" x14ac:dyDescent="0.2">
      <c r="A19" t="s">
        <v>19</v>
      </c>
      <c r="B19">
        <v>170899</v>
      </c>
      <c r="C19">
        <v>4029609</v>
      </c>
      <c r="D19">
        <v>4.24E-2</v>
      </c>
      <c r="E19" t="s">
        <v>4</v>
      </c>
      <c r="F19">
        <f>D19*4</f>
        <v>0.1696</v>
      </c>
    </row>
    <row r="20" spans="1:6" x14ac:dyDescent="0.2">
      <c r="A20" t="s">
        <v>20</v>
      </c>
      <c r="B20">
        <v>0</v>
      </c>
      <c r="C20">
        <v>580667</v>
      </c>
      <c r="D20">
        <v>0</v>
      </c>
      <c r="E20" t="s">
        <v>5</v>
      </c>
      <c r="F20">
        <v>0</v>
      </c>
    </row>
    <row r="21" spans="1:6" x14ac:dyDescent="0.2">
      <c r="A21" t="s">
        <v>21</v>
      </c>
      <c r="B21">
        <v>0</v>
      </c>
      <c r="C21">
        <v>368601</v>
      </c>
      <c r="D21">
        <v>0</v>
      </c>
      <c r="E21" t="s">
        <v>5</v>
      </c>
      <c r="F21">
        <v>0</v>
      </c>
    </row>
    <row r="22" spans="1:6" x14ac:dyDescent="0.2">
      <c r="A22" t="s">
        <v>27</v>
      </c>
      <c r="B22">
        <v>426235</v>
      </c>
      <c r="C22">
        <v>2536696</v>
      </c>
      <c r="D22">
        <v>0.16800000000000001</v>
      </c>
      <c r="E22" t="s">
        <v>4</v>
      </c>
      <c r="F22">
        <f>D22*4</f>
        <v>0.67200000000000004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6C49-DEA3-4846-AAAD-5ACC4EE6DECF}">
  <dimension ref="A1:F22"/>
  <sheetViews>
    <sheetView workbookViewId="0"/>
  </sheetViews>
  <sheetFormatPr baseColWidth="10" defaultColWidth="8.83203125" defaultRowHeight="15" x14ac:dyDescent="0.2"/>
  <cols>
    <col min="1" max="1" width="29.83203125" bestFit="1" customWidth="1"/>
    <col min="2" max="2" width="11.33203125" customWidth="1"/>
    <col min="3" max="3" width="11.6640625" customWidth="1"/>
    <col min="4" max="4" width="15.1640625" customWidth="1"/>
    <col min="5" max="5" width="10.33203125" customWidth="1"/>
    <col min="6" max="6" width="15.33203125" bestFit="1" customWidth="1"/>
    <col min="8" max="8" width="11" bestFit="1" customWidth="1"/>
  </cols>
  <sheetData>
    <row r="1" spans="1:6" ht="21" x14ac:dyDescent="0.25">
      <c r="A1" s="6" t="s">
        <v>64</v>
      </c>
    </row>
    <row r="2" spans="1:6" x14ac:dyDescent="0.2">
      <c r="A2" t="s">
        <v>7</v>
      </c>
      <c r="B2" t="s">
        <v>1</v>
      </c>
      <c r="C2" t="s">
        <v>2</v>
      </c>
      <c r="D2" t="s">
        <v>0</v>
      </c>
      <c r="E2" t="s">
        <v>3</v>
      </c>
      <c r="F2" t="s">
        <v>6</v>
      </c>
    </row>
    <row r="3" spans="1:6" x14ac:dyDescent="0.2">
      <c r="A3" t="s">
        <v>22</v>
      </c>
      <c r="B3">
        <v>2437184</v>
      </c>
      <c r="C3">
        <v>15883550</v>
      </c>
      <c r="D3">
        <v>0.15340000000000001</v>
      </c>
      <c r="E3" t="s">
        <v>4</v>
      </c>
      <c r="F3">
        <f t="shared" ref="F3:F16" si="0">D3*4</f>
        <v>0.61360000000000003</v>
      </c>
    </row>
    <row r="4" spans="1:6" x14ac:dyDescent="0.2">
      <c r="A4" t="s">
        <v>8</v>
      </c>
      <c r="B4">
        <v>7620138</v>
      </c>
      <c r="C4">
        <v>35182112</v>
      </c>
      <c r="D4">
        <v>0.21659999999999999</v>
      </c>
      <c r="E4" t="s">
        <v>4</v>
      </c>
      <c r="F4">
        <f t="shared" si="0"/>
        <v>0.86639999999999995</v>
      </c>
    </row>
    <row r="5" spans="1:6" x14ac:dyDescent="0.2">
      <c r="A5" t="s">
        <v>9</v>
      </c>
      <c r="B5">
        <v>4341474</v>
      </c>
      <c r="C5">
        <v>23384282</v>
      </c>
      <c r="D5">
        <v>0.20100000000000001</v>
      </c>
      <c r="E5" t="s">
        <v>4</v>
      </c>
      <c r="F5">
        <f t="shared" si="0"/>
        <v>0.80400000000000005</v>
      </c>
    </row>
    <row r="6" spans="1:6" x14ac:dyDescent="0.2">
      <c r="A6" t="s">
        <v>23</v>
      </c>
      <c r="B6">
        <v>1241954</v>
      </c>
      <c r="C6">
        <v>14287630</v>
      </c>
      <c r="D6">
        <v>8.6900000000000005E-2</v>
      </c>
      <c r="E6" t="s">
        <v>4</v>
      </c>
      <c r="F6">
        <f t="shared" si="0"/>
        <v>0.34760000000000002</v>
      </c>
    </row>
    <row r="7" spans="1:6" x14ac:dyDescent="0.2">
      <c r="A7" t="s">
        <v>14</v>
      </c>
      <c r="B7">
        <v>961016</v>
      </c>
      <c r="C7">
        <v>25497352</v>
      </c>
      <c r="D7">
        <v>9.9699999999999997E-2</v>
      </c>
      <c r="E7" t="s">
        <v>4</v>
      </c>
      <c r="F7">
        <f t="shared" si="0"/>
        <v>0.39879999999999999</v>
      </c>
    </row>
    <row r="8" spans="1:6" x14ac:dyDescent="0.2">
      <c r="A8" t="s">
        <v>10</v>
      </c>
      <c r="B8">
        <v>942139</v>
      </c>
      <c r="C8">
        <v>14513088</v>
      </c>
      <c r="D8">
        <v>0.122</v>
      </c>
      <c r="E8" t="s">
        <v>4</v>
      </c>
      <c r="F8">
        <f t="shared" si="0"/>
        <v>0.48799999999999999</v>
      </c>
    </row>
    <row r="9" spans="1:6" x14ac:dyDescent="0.2">
      <c r="A9" t="s">
        <v>15</v>
      </c>
      <c r="B9">
        <v>7854085</v>
      </c>
      <c r="C9">
        <v>29633822</v>
      </c>
      <c r="D9">
        <v>0.26500000000000001</v>
      </c>
      <c r="E9" t="s">
        <v>4</v>
      </c>
      <c r="F9">
        <f t="shared" si="0"/>
        <v>1.06</v>
      </c>
    </row>
    <row r="10" spans="1:6" x14ac:dyDescent="0.2">
      <c r="A10" t="s">
        <v>24</v>
      </c>
      <c r="B10">
        <v>5790866</v>
      </c>
      <c r="C10">
        <v>19806946</v>
      </c>
      <c r="D10">
        <v>0.29239999999999999</v>
      </c>
      <c r="E10" t="s">
        <v>4</v>
      </c>
      <c r="F10">
        <f t="shared" si="0"/>
        <v>1.1696</v>
      </c>
    </row>
    <row r="11" spans="1:6" x14ac:dyDescent="0.2">
      <c r="A11" t="s">
        <v>11</v>
      </c>
      <c r="B11">
        <v>2412099</v>
      </c>
      <c r="C11">
        <v>14368967</v>
      </c>
      <c r="D11">
        <v>0.2114</v>
      </c>
      <c r="E11" t="s">
        <v>4</v>
      </c>
      <c r="F11">
        <f t="shared" si="0"/>
        <v>0.84560000000000002</v>
      </c>
    </row>
    <row r="12" spans="1:6" x14ac:dyDescent="0.2">
      <c r="A12" t="s">
        <v>25</v>
      </c>
      <c r="B12">
        <v>2658285</v>
      </c>
      <c r="C12">
        <v>7426456</v>
      </c>
      <c r="D12">
        <v>0.3579</v>
      </c>
      <c r="E12" t="s">
        <v>4</v>
      </c>
      <c r="F12">
        <f t="shared" si="0"/>
        <v>1.4316</v>
      </c>
    </row>
    <row r="13" spans="1:6" x14ac:dyDescent="0.2">
      <c r="A13" t="s">
        <v>12</v>
      </c>
      <c r="B13">
        <v>2799680</v>
      </c>
      <c r="C13">
        <v>18113072</v>
      </c>
      <c r="D13">
        <v>0.1585</v>
      </c>
      <c r="E13" t="s">
        <v>4</v>
      </c>
      <c r="F13">
        <f t="shared" si="0"/>
        <v>0.63400000000000001</v>
      </c>
    </row>
    <row r="14" spans="1:6" x14ac:dyDescent="0.2">
      <c r="A14" t="s">
        <v>13</v>
      </c>
      <c r="B14">
        <v>4771480</v>
      </c>
      <c r="C14">
        <v>6430472</v>
      </c>
      <c r="D14">
        <v>0.84689999999999999</v>
      </c>
      <c r="E14" t="s">
        <v>4</v>
      </c>
      <c r="F14">
        <f t="shared" si="0"/>
        <v>3.3875999999999999</v>
      </c>
    </row>
    <row r="15" spans="1:6" x14ac:dyDescent="0.2">
      <c r="A15" t="s">
        <v>16</v>
      </c>
      <c r="B15">
        <v>2447229</v>
      </c>
      <c r="C15">
        <v>15914333</v>
      </c>
      <c r="D15">
        <v>0.15379999999999999</v>
      </c>
      <c r="E15" t="s">
        <v>4</v>
      </c>
      <c r="F15">
        <f t="shared" si="0"/>
        <v>0.61519999999999997</v>
      </c>
    </row>
    <row r="16" spans="1:6" x14ac:dyDescent="0.2">
      <c r="A16" t="s">
        <v>17</v>
      </c>
      <c r="B16">
        <v>4497728</v>
      </c>
      <c r="C16">
        <v>20696346</v>
      </c>
      <c r="D16">
        <v>0.21729999999999999</v>
      </c>
      <c r="E16" t="s">
        <v>4</v>
      </c>
      <c r="F16">
        <f t="shared" si="0"/>
        <v>0.86919999999999997</v>
      </c>
    </row>
    <row r="17" spans="1:6" x14ac:dyDescent="0.2">
      <c r="A17" t="s">
        <v>26</v>
      </c>
      <c r="B17">
        <v>4515901</v>
      </c>
      <c r="C17">
        <v>15473936</v>
      </c>
      <c r="D17">
        <v>0.2918</v>
      </c>
      <c r="E17" t="s">
        <v>5</v>
      </c>
      <c r="F17">
        <v>0</v>
      </c>
    </row>
    <row r="18" spans="1:6" x14ac:dyDescent="0.2">
      <c r="A18" t="s">
        <v>18</v>
      </c>
      <c r="B18">
        <v>2534942</v>
      </c>
      <c r="C18">
        <v>17288506</v>
      </c>
      <c r="D18">
        <v>0.14660000000000001</v>
      </c>
      <c r="E18" t="s">
        <v>5</v>
      </c>
      <c r="F18">
        <v>0</v>
      </c>
    </row>
    <row r="19" spans="1:6" x14ac:dyDescent="0.2">
      <c r="A19" t="s">
        <v>19</v>
      </c>
      <c r="B19">
        <v>2210707</v>
      </c>
      <c r="C19">
        <v>15297510</v>
      </c>
      <c r="D19">
        <v>0.14449999999999999</v>
      </c>
      <c r="E19" t="s">
        <v>4</v>
      </c>
      <c r="F19">
        <f t="shared" ref="F19:F22" si="1">D19*4</f>
        <v>0.57799999999999996</v>
      </c>
    </row>
    <row r="20" spans="1:6" x14ac:dyDescent="0.2">
      <c r="A20" t="s">
        <v>20</v>
      </c>
      <c r="B20">
        <v>8626847</v>
      </c>
      <c r="C20">
        <v>24218376</v>
      </c>
      <c r="D20">
        <v>0.35620000000000002</v>
      </c>
      <c r="E20" t="s">
        <v>4</v>
      </c>
      <c r="F20">
        <f t="shared" si="1"/>
        <v>1.4248000000000001</v>
      </c>
    </row>
    <row r="21" spans="1:6" x14ac:dyDescent="0.2">
      <c r="A21" t="s">
        <v>21</v>
      </c>
      <c r="B21">
        <v>1532583</v>
      </c>
      <c r="C21">
        <v>16660719</v>
      </c>
      <c r="D21">
        <v>9.1999999999999998E-2</v>
      </c>
      <c r="E21" t="s">
        <v>4</v>
      </c>
      <c r="F21">
        <f t="shared" si="1"/>
        <v>0.36799999999999999</v>
      </c>
    </row>
    <row r="22" spans="1:6" x14ac:dyDescent="0.2">
      <c r="A22" t="s">
        <v>27</v>
      </c>
      <c r="B22">
        <v>2635132</v>
      </c>
      <c r="C22">
        <v>11164568</v>
      </c>
      <c r="D22">
        <v>0.23599999999999999</v>
      </c>
      <c r="E22" t="s">
        <v>4</v>
      </c>
      <c r="F22">
        <f t="shared" si="1"/>
        <v>0.94399999999999995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workbookViewId="0">
      <selection activeCell="H36" sqref="H36"/>
    </sheetView>
  </sheetViews>
  <sheetFormatPr baseColWidth="10" defaultColWidth="8.83203125" defaultRowHeight="15" x14ac:dyDescent="0.2"/>
  <cols>
    <col min="1" max="1" width="29.83203125" bestFit="1" customWidth="1"/>
    <col min="2" max="2" width="11.33203125" customWidth="1"/>
    <col min="3" max="3" width="11.6640625" customWidth="1"/>
    <col min="4" max="4" width="15.1640625" customWidth="1"/>
    <col min="5" max="5" width="10.33203125" customWidth="1"/>
    <col min="6" max="6" width="15.33203125" bestFit="1" customWidth="1"/>
    <col min="8" max="8" width="11" bestFit="1" customWidth="1"/>
  </cols>
  <sheetData>
    <row r="1" spans="1:6" ht="21" x14ac:dyDescent="0.25">
      <c r="A1" s="6" t="s">
        <v>30</v>
      </c>
    </row>
    <row r="2" spans="1:6" x14ac:dyDescent="0.2">
      <c r="A2" t="s">
        <v>7</v>
      </c>
      <c r="B2" t="s">
        <v>1</v>
      </c>
      <c r="C2" t="s">
        <v>2</v>
      </c>
      <c r="D2" t="s">
        <v>0</v>
      </c>
      <c r="E2" t="s">
        <v>3</v>
      </c>
      <c r="F2" t="s">
        <v>6</v>
      </c>
    </row>
    <row r="3" spans="1:6" x14ac:dyDescent="0.2">
      <c r="A3" t="s">
        <v>22</v>
      </c>
      <c r="B3">
        <v>2774491</v>
      </c>
      <c r="C3">
        <v>56987756</v>
      </c>
      <c r="D3">
        <v>4.87E-2</v>
      </c>
      <c r="E3" t="s">
        <v>4</v>
      </c>
      <c r="F3">
        <f t="shared" ref="F3:F10" si="0">D3*4</f>
        <v>0.1948</v>
      </c>
    </row>
    <row r="4" spans="1:6" x14ac:dyDescent="0.2">
      <c r="A4" t="s">
        <v>8</v>
      </c>
      <c r="B4">
        <v>14337742</v>
      </c>
      <c r="C4">
        <v>59878104</v>
      </c>
      <c r="D4">
        <v>0.2394</v>
      </c>
      <c r="E4" t="s">
        <v>4</v>
      </c>
      <c r="F4">
        <f t="shared" si="0"/>
        <v>0.95760000000000001</v>
      </c>
    </row>
    <row r="5" spans="1:6" x14ac:dyDescent="0.2">
      <c r="A5" t="s">
        <v>9</v>
      </c>
      <c r="B5">
        <v>35666728</v>
      </c>
      <c r="C5">
        <v>35784408</v>
      </c>
      <c r="D5">
        <v>0.99670000000000003</v>
      </c>
      <c r="E5" t="s">
        <v>4</v>
      </c>
      <c r="F5">
        <f t="shared" si="0"/>
        <v>3.9868000000000001</v>
      </c>
    </row>
    <row r="6" spans="1:6" x14ac:dyDescent="0.2">
      <c r="A6" t="s">
        <v>23</v>
      </c>
      <c r="B6">
        <v>65899176</v>
      </c>
      <c r="C6">
        <v>38279712</v>
      </c>
      <c r="D6">
        <v>1.7215</v>
      </c>
      <c r="E6" t="s">
        <v>4</v>
      </c>
      <c r="F6">
        <f t="shared" si="0"/>
        <v>6.8860000000000001</v>
      </c>
    </row>
    <row r="7" spans="1:6" x14ac:dyDescent="0.2">
      <c r="A7" t="s">
        <v>14</v>
      </c>
      <c r="B7">
        <v>2124429</v>
      </c>
      <c r="C7">
        <v>18906604</v>
      </c>
      <c r="D7">
        <v>0.1124</v>
      </c>
      <c r="E7" t="s">
        <v>4</v>
      </c>
      <c r="F7">
        <f t="shared" si="0"/>
        <v>0.4496</v>
      </c>
    </row>
    <row r="8" spans="1:6" x14ac:dyDescent="0.2">
      <c r="A8" t="s">
        <v>10</v>
      </c>
      <c r="B8">
        <v>15732817</v>
      </c>
      <c r="C8">
        <v>17724716</v>
      </c>
      <c r="D8">
        <v>0.88759999999999994</v>
      </c>
      <c r="E8" t="s">
        <v>4</v>
      </c>
      <c r="F8">
        <f t="shared" si="0"/>
        <v>3.5503999999999998</v>
      </c>
    </row>
    <row r="9" spans="1:6" x14ac:dyDescent="0.2">
      <c r="A9" t="s">
        <v>15</v>
      </c>
      <c r="B9">
        <v>19001660</v>
      </c>
      <c r="C9">
        <v>43342172</v>
      </c>
      <c r="D9">
        <v>0.43840000000000001</v>
      </c>
      <c r="E9" t="s">
        <v>4</v>
      </c>
      <c r="F9">
        <f t="shared" si="0"/>
        <v>1.7536</v>
      </c>
    </row>
    <row r="10" spans="1:6" x14ac:dyDescent="0.2">
      <c r="A10" t="s">
        <v>24</v>
      </c>
      <c r="B10">
        <v>44844152</v>
      </c>
      <c r="C10">
        <v>54336856</v>
      </c>
      <c r="D10">
        <v>0.82530000000000003</v>
      </c>
      <c r="E10" t="s">
        <v>4</v>
      </c>
      <c r="F10">
        <f t="shared" si="0"/>
        <v>3.3012000000000001</v>
      </c>
    </row>
    <row r="11" spans="1:6" x14ac:dyDescent="0.2">
      <c r="A11" t="s">
        <v>11</v>
      </c>
      <c r="B11">
        <v>1045328</v>
      </c>
      <c r="C11">
        <v>12405445</v>
      </c>
      <c r="D11">
        <v>8.43E-2</v>
      </c>
      <c r="E11" t="s">
        <v>5</v>
      </c>
      <c r="F11">
        <v>0</v>
      </c>
    </row>
    <row r="12" spans="1:6" x14ac:dyDescent="0.2">
      <c r="A12" t="s">
        <v>25</v>
      </c>
      <c r="B12">
        <v>16950568</v>
      </c>
      <c r="C12">
        <v>14964600</v>
      </c>
      <c r="D12">
        <v>1.1327</v>
      </c>
      <c r="E12" t="s">
        <v>4</v>
      </c>
      <c r="F12">
        <f t="shared" ref="F12:F22" si="1">D12*4</f>
        <v>4.5308000000000002</v>
      </c>
    </row>
    <row r="13" spans="1:6" x14ac:dyDescent="0.2">
      <c r="A13" t="s">
        <v>12</v>
      </c>
      <c r="B13">
        <v>5427733</v>
      </c>
      <c r="C13">
        <v>15854669</v>
      </c>
      <c r="D13">
        <v>0.34229999999999999</v>
      </c>
      <c r="E13" t="s">
        <v>4</v>
      </c>
      <c r="F13">
        <f t="shared" si="1"/>
        <v>1.3692</v>
      </c>
    </row>
    <row r="14" spans="1:6" x14ac:dyDescent="0.2">
      <c r="A14" t="s">
        <v>13</v>
      </c>
      <c r="B14">
        <v>17643230</v>
      </c>
      <c r="C14">
        <v>7568281</v>
      </c>
      <c r="D14">
        <v>2.3311999999999999</v>
      </c>
      <c r="E14" t="s">
        <v>4</v>
      </c>
      <c r="F14">
        <f t="shared" si="1"/>
        <v>9.3247999999999998</v>
      </c>
    </row>
    <row r="15" spans="1:6" x14ac:dyDescent="0.2">
      <c r="A15" t="s">
        <v>16</v>
      </c>
      <c r="B15">
        <v>5497826</v>
      </c>
      <c r="C15">
        <v>21983840</v>
      </c>
      <c r="D15">
        <v>0.25009999999999999</v>
      </c>
      <c r="E15" t="s">
        <v>4</v>
      </c>
      <c r="F15">
        <f t="shared" si="1"/>
        <v>1.0004</v>
      </c>
    </row>
    <row r="16" spans="1:6" x14ac:dyDescent="0.2">
      <c r="A16" t="s">
        <v>17</v>
      </c>
      <c r="B16">
        <v>4876553</v>
      </c>
      <c r="C16">
        <v>20840830</v>
      </c>
      <c r="D16">
        <v>0.23400000000000001</v>
      </c>
      <c r="E16" t="s">
        <v>4</v>
      </c>
      <c r="F16">
        <f t="shared" si="1"/>
        <v>0.93600000000000005</v>
      </c>
    </row>
    <row r="17" spans="1:6" x14ac:dyDescent="0.2">
      <c r="A17" t="s">
        <v>26</v>
      </c>
      <c r="B17">
        <v>41684432</v>
      </c>
      <c r="C17">
        <v>23281754</v>
      </c>
      <c r="D17">
        <v>1.7904</v>
      </c>
      <c r="E17" t="s">
        <v>4</v>
      </c>
      <c r="F17">
        <f t="shared" si="1"/>
        <v>7.1616</v>
      </c>
    </row>
    <row r="18" spans="1:6" x14ac:dyDescent="0.2">
      <c r="A18" t="s">
        <v>18</v>
      </c>
      <c r="B18">
        <v>4866655</v>
      </c>
      <c r="C18">
        <v>25209732</v>
      </c>
      <c r="D18">
        <v>0.193</v>
      </c>
      <c r="E18" t="s">
        <v>4</v>
      </c>
      <c r="F18">
        <f t="shared" si="1"/>
        <v>0.77200000000000002</v>
      </c>
    </row>
    <row r="19" spans="1:6" x14ac:dyDescent="0.2">
      <c r="A19" t="s">
        <v>19</v>
      </c>
      <c r="B19">
        <v>3143097</v>
      </c>
      <c r="C19">
        <v>33239268</v>
      </c>
      <c r="D19">
        <v>9.4600000000000004E-2</v>
      </c>
      <c r="E19" t="s">
        <v>4</v>
      </c>
      <c r="F19">
        <f t="shared" si="1"/>
        <v>0.37840000000000001</v>
      </c>
    </row>
    <row r="20" spans="1:6" x14ac:dyDescent="0.2">
      <c r="A20" t="s">
        <v>20</v>
      </c>
      <c r="B20">
        <v>13981910</v>
      </c>
      <c r="C20">
        <v>27397002</v>
      </c>
      <c r="D20">
        <v>0.51029999999999998</v>
      </c>
      <c r="E20" t="s">
        <v>4</v>
      </c>
      <c r="F20">
        <f t="shared" si="1"/>
        <v>2.0411999999999999</v>
      </c>
    </row>
    <row r="21" spans="1:6" x14ac:dyDescent="0.2">
      <c r="A21" t="s">
        <v>21</v>
      </c>
      <c r="B21">
        <v>9140832</v>
      </c>
      <c r="C21">
        <v>26255094</v>
      </c>
      <c r="D21">
        <v>0.34820000000000001</v>
      </c>
      <c r="E21" t="s">
        <v>4</v>
      </c>
      <c r="F21">
        <f t="shared" si="1"/>
        <v>1.3928</v>
      </c>
    </row>
    <row r="22" spans="1:6" x14ac:dyDescent="0.2">
      <c r="A22" t="s">
        <v>27</v>
      </c>
      <c r="B22">
        <v>31702570</v>
      </c>
      <c r="C22">
        <v>15736127</v>
      </c>
      <c r="D22">
        <v>2.0146000000000002</v>
      </c>
      <c r="E22" t="s">
        <v>4</v>
      </c>
      <c r="F22">
        <f t="shared" si="1"/>
        <v>8.0584000000000007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PD-1</vt:lpstr>
      <vt:lpstr>PD-L1</vt:lpstr>
      <vt:lpstr>IDO1</vt:lpstr>
      <vt:lpstr>PD-L2</vt:lpstr>
      <vt:lpstr>LAG3</vt:lpstr>
      <vt:lpstr>TIM-3</vt:lpstr>
      <vt:lpstr>ICOSLG</vt:lpstr>
      <vt:lpstr>VISTA</vt:lpstr>
      <vt:lpstr>GITR</vt:lpstr>
      <vt:lpstr>CD40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Liebler</dc:creator>
  <cp:lastModifiedBy>Microsoft Office User</cp:lastModifiedBy>
  <cp:lastPrinted>2019-07-08T20:12:37Z</cp:lastPrinted>
  <dcterms:created xsi:type="dcterms:W3CDTF">2018-09-03T15:02:42Z</dcterms:created>
  <dcterms:modified xsi:type="dcterms:W3CDTF">2020-03-20T15:32:46Z</dcterms:modified>
</cp:coreProperties>
</file>